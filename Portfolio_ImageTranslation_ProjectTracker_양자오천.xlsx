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7e872ce1f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a415885c25574910"/>
    <x:sheet xmlns:r="http://schemas.openxmlformats.org/officeDocument/2006/relationships" name="Lookup" sheetId="2" r:id="R76eb42bcf01e44d9"/>
    <x:sheet xmlns:r="http://schemas.openxmlformats.org/officeDocument/2006/relationships" name="Dashboard" sheetId="3" r:id="Rf5c0bd1e72bb4cd3"/>
  </x:sheets>
  <x:definedNames>
    <x:definedName name="Status">'Lookup'!$A$2:$A$7</x:definedName>
    <x:definedName name="Priority">'Lookup'!$B$2:$B$4</x:definedName>
    <x:definedName name="Risk_Level">'Lookup'!$C$2:$C$4</x:definedName>
    <x:definedName name="QC_Status">'Lookup'!$D$2:$D$5</x:definedName>
    <x:definedName name="Yes_No">'Lookup'!$E$2:$E$3</x:definedName>
    <x:definedName name="Content_Type">'Lookup'!$F$2:$F$4</x:definedName>
    <x:definedName name="Locales">'Lookup'!$G$2:$G$14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%"/>
    <x:numFmt numFmtId="166" formatCode="0.0"/>
  </x:numFmts>
  <x:fonts count="8">
    <x:font>
      <x:sz val="11"/>
      <x:color theme="1"/>
      <x:name val="Calibri"/>
      <x:family val="2"/>
      <x:scheme val="minor"/>
    </x:font>
    <x:font>
      <x:b/>
    </x:font>
    <x:font>
      <x:b/>
      <x:color rgb="00FFFFFF"/>
    </x:font>
    <x:font>
      <x:b/>
      <x:sz val="16"/>
      <x:color rgb="001F3A5F"/>
    </x:font>
    <x:font>
      <x:b/>
      <x:color rgb="001F3A5F"/>
    </x:font>
    <x:font>
      <x:b/>
      <x:sz val="12"/>
      <x:color rgb="001F3A5F"/>
    </x:font>
    <x:font>
      <x:color rgb="000000FF"/>
    </x:font>
    <x:font>
      <x:sz val="9"/>
      <x:color rgb="00444444"/>
    </x:font>
  </x:fonts>
  <x:fills count="4">
    <x:fill>
      <x:patternFill patternType="none"/>
    </x:fill>
    <x:fill>
      <x:patternFill patternType="gray125"/>
    </x:fill>
    <x:fill>
      <x:patternFill patternType="solid">
        <x:fgColor rgb="001F3A5F"/>
      </x:patternFill>
    </x:fill>
    <x:fill>
      <x:patternFill patternType="solid">
        <x:fgColor rgb="00F3F6FB"/>
      </x:patternFill>
    </x:fill>
  </x:fills>
  <x:borders count="2">
    <x:border>
      <x:left/>
      <x:right/>
      <x:top/>
      <x:bottom/>
      <x:diagonal/>
    </x:border>
    <x:border>
      <x:left style="thin">
        <x:color rgb="00CBD5E1"/>
      </x:left>
      <x:right style="thin">
        <x:color rgb="00CBD5E1"/>
      </x:right>
      <x:top style="thin">
        <x:color rgb="00CBD5E1"/>
      </x:top>
      <x:bottom style="thin">
        <x:color rgb="00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0" fillId="0" borderId="1" xfId="0" applyAlignment="1">
      <x:alignment horizontal="right" vertical="center"/>
    </x:xf>
    <x:xf numFmtId="164" fontId="0" fillId="0" borderId="1" xfId="0" applyAlignment="1">
      <x:alignment horizontal="center" vertical="center"/>
    </x:xf>
    <x:xf numFmtId="9" fontId="0" fillId="0" borderId="1" xfId="0" applyAlignment="1">
      <x:alignment horizontal="right" vertical="center"/>
    </x:xf>
    <x:xf numFmtId="165" fontId="0" fillId="0" borderId="1" xfId="0" applyAlignment="1">
      <x:alignment horizontal="right" vertical="center"/>
    </x:xf>
    <x:xf numFmtId="164" fontId="0" fillId="0" borderId="0" xfId="0"/>
    <x:xf numFmtId="9" fontId="0" fillId="0" borderId="0" xfId="0"/>
    <x:xf numFmtId="165" fontId="0" fillId="0" borderId="0" xfId="0"/>
    <x:xf numFmtId="0" fontId="1" fillId="0" borderId="0" xfId="0"/>
    <x:xf numFmtId="0" fontId="3" fillId="0" borderId="0" xfId="0"/>
    <x:xf numFmtId="0" fontId="2" fillId="2" borderId="1" xfId="0" applyAlignment="1">
      <x:alignment horizontal="center" vertical="center"/>
    </x:xf>
    <x:xf numFmtId="0" fontId="4" fillId="3" borderId="1" xfId="0" applyAlignment="1">
      <x:alignment vertical="center"/>
    </x:xf>
    <x:xf numFmtId="1" fontId="0" fillId="0" borderId="1" xfId="0" applyAlignment="1">
      <x:alignment horizontal="right" vertical="center"/>
    </x:xf>
    <x:xf numFmtId="166" fontId="0" fillId="0" borderId="1" xfId="0" applyAlignment="1">
      <x:alignment horizontal="right" vertical="center"/>
    </x:xf>
    <x:xf numFmtId="0" fontId="5" fillId="0" borderId="0" xfId="0"/>
    <x:xf numFmtId="0" fontId="2" fillId="2" borderId="1" xfId="0" applyAlignment="1">
      <x:alignment horizontal="center"/>
    </x:xf>
    <x:xf numFmtId="0" fontId="0" fillId="0" borderId="1" xfId="0"/>
    <x:xf numFmtId="0" fontId="0" fillId="0" borderId="1" xfId="0" applyAlignment="1">
      <x:alignment horizontal="right"/>
    </x:xf>
    <x:xf numFmtId="0" fontId="6" fillId="0" borderId="1" xfId="0"/>
    <x:xf numFmtId="0" fontId="4" fillId="0" borderId="0" xfId="0"/>
    <x:xf numFmtId="0" fontId="7" fillId="0" borderId="0" xfId="0"/>
  </x:cellXfs>
  <x:cellStyles count="1">
    <x:cellStyle name="Normal" xfId="0"/>
  </x:cellStyles>
  <x:dxfs count="2">
    <x:dxf>
      <x:fill>
        <x:patternFill>
          <x:bgColor rgb="00FDE2E2"/>
        </x:patternFill>
      </x:fill>
    </x:dxf>
    <x:dxf>
      <x:fill>
        <x:patternFill>
          <x:bgColor rgb="00FFF4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5086a93484413" /><Relationship Type="http://schemas.openxmlformats.org/officeDocument/2006/relationships/theme" Target="/xl/theme/theme1.xml" Id="Ra2dcb4f677824eb9" /><Relationship Type="http://schemas.openxmlformats.org/officeDocument/2006/relationships/sharedStrings" Target="/xl/sharedStrings.xml" Id="R34839a67153147ea" /><Relationship Type="http://schemas.openxmlformats.org/officeDocument/2006/relationships/worksheet" Target="/xl/worksheets/sheet1.xml" Id="Ra415885c25574910" /><Relationship Type="http://schemas.openxmlformats.org/officeDocument/2006/relationships/worksheet" Target="/xl/worksheets/sheet2.xml" Id="R76eb42bcf01e44d9" /><Relationship Type="http://schemas.openxmlformats.org/officeDocument/2006/relationships/worksheet" Target="/xl/worksheets/sheet3.xml" Id="Rf5c0bd1e72bb4c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8" customWidth="1"/>
    <x:col min="3" max="3" width="18" customWidth="1"/>
    <x:col min="4" max="4" width="18" customWidth="1"/>
    <x:col min="5" max="5" width="12" customWidth="1"/>
    <x:col min="6" max="6" width="12" customWidth="1"/>
    <x:col min="7" max="7" width="12" customWidth="1"/>
    <x:col min="8" max="8" width="10" customWidth="1"/>
    <x:col min="9" max="9" width="12" customWidth="1"/>
    <x:col min="10" max="10" width="14" customWidth="1"/>
    <x:col min="11" max="11" width="14" customWidth="1"/>
    <x:col min="12" max="12" width="12" customWidth="1"/>
    <x:col min="13" max="13" width="10" customWidth="1"/>
    <x:col min="14" max="14" width="12" customWidth="1"/>
    <x:col min="15" max="15" width="14" customWidth="1"/>
    <x:col min="16" max="16" width="9" customWidth="1"/>
    <x:col min="17" max="17" width="10" customWidth="1"/>
    <x:col min="18" max="18" width="22" customWidth="1"/>
    <x:col min="19" max="19" width="10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22" customWidth="1"/>
    <x:col min="28" max="28" width="16" customWidth="1"/>
  </x:cols>
  <x:sheetData>
    <x:row r="1" ht="30" customHeight="1">
      <x:c r="A1" s="1" t="inlineStr">
        <x:is>
          <x:t xml:space="preserve">Task ID</x:t>
        </x:is>
      </x:c>
      <x:c r="B1" s="1" t="inlineStr">
        <x:is>
          <x:t xml:space="preserve">Client</x:t>
        </x:is>
      </x:c>
      <x:c r="C1" s="1" t="inlineStr">
        <x:is>
          <x:t xml:space="preserve">Project/Order</x:t>
        </x:is>
      </x:c>
      <x:c r="D1" s="1" t="inlineStr">
        <x:is>
          <x:t xml:space="preserve">Content Type</x:t>
        </x:is>
      </x:c>
      <x:c r="E1" s="1" t="inlineStr">
        <x:is>
          <x:t xml:space="preserve">Source Locale</x:t>
        </x:is>
      </x:c>
      <x:c r="F1" s="1" t="inlineStr">
        <x:is>
          <x:t xml:space="preserve">Target Locale</x:t>
        </x:is>
      </x:c>
      <x:c r="G1" s="1" t="inlineStr">
        <x:is>
          <x:t xml:space="preserve">Volume (items)</x:t>
        </x:is>
      </x:c>
      <x:c r="H1" s="1" t="inlineStr">
        <x:is>
          <x:t xml:space="preserve">Priority</x:t>
        </x:is>
      </x:c>
      <x:c r="I1" s="1" t="inlineStr">
        <x:is>
          <x:t xml:space="preserve">Status</x:t>
        </x:is>
      </x:c>
      <x:c r="J1" s="1" t="inlineStr">
        <x:is>
          <x:t xml:space="preserve">Owner</x:t>
        </x:is>
      </x:c>
      <x:c r="K1" s="1" t="inlineStr">
        <x:is>
          <x:t xml:space="preserve">Reviewer</x:t>
        </x:is>
      </x:c>
      <x:c r="L1" s="1" t="inlineStr">
        <x:is>
          <x:t xml:space="preserve">Received Date</x:t>
        </x:is>
      </x:c>
      <x:c r="M1" s="1" t="inlineStr">
        <x:is>
          <x:t xml:space="preserve">Due Date</x:t>
        </x:is>
      </x:c>
      <x:c r="N1" s="1" t="inlineStr">
        <x:is>
          <x:t xml:space="preserve">Delivered Date</x:t>
        </x:is>
      </x:c>
      <x:c r="O1" s="1" t="inlineStr">
        <x:is>
          <x:t xml:space="preserve">Cycle Time (days)</x:t>
        </x:is>
      </x:c>
      <x:c r="P1" s="1" t="inlineStr">
        <x:is>
          <x:t xml:space="preserve">SLA Met</x:t>
        </x:is>
      </x:c>
      <x:c r="Q1" s="1" t="inlineStr">
        <x:is>
          <x:t xml:space="preserve">Risk Level</x:t>
        </x:is>
      </x:c>
      <x:c r="R1" s="1" t="inlineStr">
        <x:is>
          <x:t xml:space="preserve">Risk Notes</x:t>
        </x:is>
      </x:c>
      <x:c r="S1" s="1" t="inlineStr">
        <x:is>
          <x:t xml:space="preserve">QC Sample %</x:t>
        </x:is>
      </x:c>
      <x:c r="T1" s="1" t="inlineStr">
        <x:is>
          <x:t xml:space="preserve">QC Sample Size</x:t>
        </x:is>
      </x:c>
      <x:c r="U1" s="1" t="inlineStr">
        <x:is>
          <x:t xml:space="preserve">QC Status</x:t>
        </x:is>
      </x:c>
      <x:c r="V1" s="1" t="inlineStr">
        <x:is>
          <x:t xml:space="preserve">Major Defects</x:t>
        </x:is>
      </x:c>
      <x:c r="W1" s="1" t="inlineStr">
        <x:is>
          <x:t xml:space="preserve">Minor Defects</x:t>
        </x:is>
      </x:c>
      <x:c r="X1" s="1" t="inlineStr">
        <x:is>
          <x:t xml:space="preserve">Total Defects</x:t>
        </x:is>
      </x:c>
      <x:c r="Y1" s="1" t="inlineStr">
        <x:is>
          <x:t xml:space="preserve">Defect Rate</x:t>
        </x:is>
      </x:c>
      <x:c r="Z1" s="1" t="inlineStr">
        <x:is>
          <x:t xml:space="preserve">Rework Needed</x:t>
        </x:is>
      </x:c>
      <x:c r="AA1" s="1" t="inlineStr">
        <x:is>
          <x:t xml:space="preserve">Notes</x:t>
        </x:is>
      </x:c>
      <x:c r="AB1" s="1" t="inlineStr">
        <x:is>
          <x:t xml:space="preserve">Link</x:t>
        </x:is>
      </x:c>
    </x:row>
    <x:row r="2" ht="18" customHeight="1">
      <x:c r="A2" s="2" t="inlineStr">
        <x:is>
          <x:t xml:space="preserve">IMG-0001</x:t>
        </x:is>
      </x:c>
      <x:c r="B2" s="2" t="inlineStr">
        <x:is>
          <x:t xml:space="preserve">Client A</x:t>
        </x:is>
      </x:c>
      <x:c r="C2" s="2" t="inlineStr">
        <x:is>
          <x:t xml:space="preserve">Order 2026-01</x:t>
        </x:is>
      </x:c>
      <x:c r="D2" s="2" t="inlineStr">
        <x:is>
          <x:t xml:space="preserve">Image Translation</x:t>
        </x:is>
      </x:c>
      <x:c r="E2" s="2" t="inlineStr">
        <x:is>
          <x:t xml:space="preserve">KO</x:t>
        </x:is>
      </x:c>
      <x:c r="F2" s="2" t="inlineStr">
        <x:is>
          <x:t xml:space="preserve">EN</x:t>
        </x:is>
      </x:c>
      <x:c r="G2" s="3" t="n">
        <x:v>500</x:v>
      </x:c>
      <x:c r="H2" s="2" t="inlineStr">
        <x:is>
          <x:t xml:space="preserve">High</x:t>
        </x:is>
      </x:c>
      <x:c r="I2" s="2" t="inlineStr">
        <x:is>
          <x:t xml:space="preserve">In Progress</x:t>
        </x:is>
      </x:c>
      <x:c r="J2" s="2" t="inlineStr">
        <x:is>
          <x:t xml:space="preserve">You</x:t>
        </x:is>
      </x:c>
      <x:c r="K2" s="2" t="inlineStr">
        <x:is>
          <x:t xml:space="preserve">QC Lead</x:t>
        </x:is>
      </x:c>
      <x:c r="L2" s="4" t="n">
        <x:v>46024</x:v>
      </x:c>
      <x:c r="M2" s="4" t="n">
        <x:v>46027</x:v>
      </x:c>
      <x:c r="N2" s="4" t="n"/>
      <x:c r="O2" s="2">
        <x:f>IF(AND(N2&lt;&gt;"",L2&lt;&gt;""),N2-L2,"")</x:f>
      </x:c>
      <x:c r="P2" s="2">
        <x:f>IF(AND(N2&lt;&gt;"",M2&lt;&gt;""),IF(N2&lt;=M2,"Yes","No"),"")</x:f>
      </x:c>
      <x:c r="Q2" s="2" t="inlineStr">
        <x:is>
          <x:t xml:space="preserve">Medium</x:t>
        </x:is>
      </x:c>
      <x:c r="R2" s="2" t="inlineStr">
        <x:is>
          <x:t xml:space="preserve">New client, confirm glossary</x:t>
        </x:is>
      </x:c>
      <x:c r="S2" s="5" t="n">
        <x:v>0.1</x:v>
      </x:c>
      <x:c r="T2" s="3">
        <x:f>IF(AND(G2&lt;&gt;"",S2&lt;&gt;""),ROUNDUP(G2*S2,0),"")</x:f>
        <x:v>50</x:v>
      </x:c>
      <x:c r="U2" s="2" t="inlineStr">
        <x:is>
          <x:t xml:space="preserve">Not Started</x:t>
        </x:is>
      </x:c>
      <x:c r="V2" s="3" t="n">
        <x:v>0</x:v>
      </x:c>
      <x:c r="W2" s="3" t="n">
        <x:v>0</x:v>
      </x:c>
      <x:c r="X2" s="3">
        <x:f>IF(OR(V2&lt;&gt;"",W2&lt;&gt;""),V2+W2,"")</x:f>
        <x:v>0</x:v>
      </x:c>
      <x:c r="Y2" s="6">
        <x:f>IF(AND(X2&lt;&gt;"",T2&lt;&gt;""),X2/T2,"")</x:f>
        <x:v>0</x:v>
      </x:c>
      <x:c r="Z2" s="2" t="inlineStr">
        <x:is>
          <x:t xml:space="preserve">No</x:t>
        </x:is>
      </x:c>
      <x:c r="AA2" s="2" t="inlineStr">
        <x:is>
          <x:t xml:space="preserve"/>
        </x:is>
      </x:c>
      <x:c r="AB2" s="2" t="inlineStr">
        <x:is>
          <x:t xml:space="preserve"/>
        </x:is>
      </x:c>
    </x:row>
    <x:row r="3" ht="18" customHeight="1">
      <x:c r="A3" s="2" t="inlineStr">
        <x:is>
          <x:t xml:space="preserve">IMG-0002</x:t>
        </x:is>
      </x:c>
      <x:c r="B3" s="2" t="inlineStr">
        <x:is>
          <x:t xml:space="preserve">Client B</x:t>
        </x:is>
      </x:c>
      <x:c r="C3" s="2" t="inlineStr">
        <x:is>
          <x:t xml:space="preserve">Order 2026-02</x:t>
        </x:is>
      </x:c>
      <x:c r="D3" s="2" t="inlineStr">
        <x:is>
          <x:t xml:space="preserve">Place Translation</x:t>
        </x:is>
      </x:c>
      <x:c r="E3" s="2" t="inlineStr">
        <x:is>
          <x:t xml:space="preserve">EN</x:t>
        </x:is>
      </x:c>
      <x:c r="F3" s="2" t="inlineStr">
        <x:is>
          <x:t xml:space="preserve">KO</x:t>
        </x:is>
      </x:c>
      <x:c r="G3" s="3" t="n">
        <x:v>1200</x:v>
      </x:c>
      <x:c r="H3" s="2" t="inlineStr">
        <x:is>
          <x:t xml:space="preserve">Medium</x:t>
        </x:is>
      </x:c>
      <x:c r="I3" s="2" t="inlineStr">
        <x:is>
          <x:t xml:space="preserve">Delivered</x:t>
        </x:is>
      </x:c>
      <x:c r="J3" s="2" t="inlineStr">
        <x:is>
          <x:t xml:space="preserve">You</x:t>
        </x:is>
      </x:c>
      <x:c r="K3" s="2" t="inlineStr">
        <x:is>
          <x:t xml:space="preserve">QC Lead</x:t>
        </x:is>
      </x:c>
      <x:c r="L3" s="4" t="n">
        <x:v>46025</x:v>
      </x:c>
      <x:c r="M3" s="4" t="n">
        <x:v>46029</x:v>
      </x:c>
      <x:c r="N3" s="4" t="n">
        <x:v>46029</x:v>
      </x:c>
      <x:c r="O3" s="2">
        <x:f>IF(AND(N3&lt;&gt;"",L3&lt;&gt;""),N3-L3,"")</x:f>
        <x:v>4</x:v>
      </x:c>
      <x:c r="P3" s="2" t="str">
        <x:f>IF(AND(N3&lt;&gt;"",M3&lt;&gt;""),IF(N3&lt;=M3,"Yes","No"),"")</x:f>
        <x:v>Yes</x:v>
      </x:c>
      <x:c r="Q3" s="2" t="inlineStr">
        <x:is>
          <x:t xml:space="preserve">Low</x:t>
        </x:is>
      </x:c>
      <x:c r="R3" s="2" t="inlineStr">
        <x:is>
          <x:t xml:space="preserve"/>
        </x:is>
      </x:c>
      <x:c r="S3" s="5" t="n">
        <x:v>0.1</x:v>
      </x:c>
      <x:c r="T3" s="3">
        <x:f>IF(AND(G3&lt;&gt;"",S3&lt;&gt;""),ROUNDUP(G3*S3,0),"")</x:f>
        <x:v>120</x:v>
      </x:c>
      <x:c r="U3" s="2" t="inlineStr">
        <x:is>
          <x:t xml:space="preserve">Pass</x:t>
        </x:is>
      </x:c>
      <x:c r="V3" s="3" t="n">
        <x:v>2</x:v>
      </x:c>
      <x:c r="W3" s="3" t="n">
        <x:v>8</x:v>
      </x:c>
      <x:c r="X3" s="3">
        <x:f>IF(OR(V3&lt;&gt;"",W3&lt;&gt;""),V3+W3,"")</x:f>
        <x:v>10</x:v>
      </x:c>
      <x:c r="Y3" s="6">
        <x:f>IF(AND(X3&lt;&gt;"",T3&lt;&gt;""),X3/T3,"")</x:f>
        <x:v>0.08333333333333333</x:v>
      </x:c>
      <x:c r="Z3" s="2" t="inlineStr">
        <x:is>
          <x:t xml:space="preserve">No</x:t>
        </x:is>
      </x:c>
      <x:c r="AA3" s="2" t="inlineStr">
        <x:is>
          <x:t xml:space="preserve">Delivered on time</x:t>
        </x:is>
      </x:c>
      <x:c r="AB3" s="2" t="inlineStr">
        <x:is>
          <x:t xml:space="preserve"/>
        </x:is>
      </x:c>
    </x:row>
    <x:row r="4" ht="18" customHeight="1">
      <x:c r="A4" s="2" t="inlineStr">
        <x:is>
          <x:t xml:space="preserve">IMG-0003</x:t>
        </x:is>
      </x:c>
      <x:c r="B4" s="2" t="inlineStr">
        <x:is>
          <x:t xml:space="preserve">Client C</x:t>
        </x:is>
      </x:c>
      <x:c r="C4" s="2" t="inlineStr">
        <x:is>
          <x:t xml:space="preserve">Order 2026-03</x:t>
        </x:is>
      </x:c>
      <x:c r="D4" s="2" t="inlineStr">
        <x:is>
          <x:t xml:space="preserve">Spatial Translation</x:t>
        </x:is>
      </x:c>
      <x:c r="E4" s="2" t="inlineStr">
        <x:is>
          <x:t xml:space="preserve">ZH</x:t>
        </x:is>
      </x:c>
      <x:c r="F4" s="2" t="inlineStr">
        <x:is>
          <x:t xml:space="preserve">EN</x:t>
        </x:is>
      </x:c>
      <x:c r="G4" s="3" t="n">
        <x:v>300</x:v>
      </x:c>
      <x:c r="H4" s="2" t="inlineStr">
        <x:is>
          <x:t xml:space="preserve">Low</x:t>
        </x:is>
      </x:c>
      <x:c r="I4" s="2" t="inlineStr">
        <x:is>
          <x:t xml:space="preserve">Blocked</x:t>
        </x:is>
      </x:c>
      <x:c r="J4" s="2" t="inlineStr">
        <x:is>
          <x:t xml:space="preserve">You</x:t>
        </x:is>
      </x:c>
      <x:c r="K4" s="2" t="inlineStr">
        <x:is>
          <x:t xml:space="preserve">QC Lead</x:t>
        </x:is>
      </x:c>
      <x:c r="L4" s="4" t="n">
        <x:v>46026</x:v>
      </x:c>
      <x:c r="M4" s="4" t="n">
        <x:v>46032</x:v>
      </x:c>
      <x:c r="N4" s="4" t="n"/>
      <x:c r="O4" s="2">
        <x:f>IF(AND(N4&lt;&gt;"",L4&lt;&gt;""),N4-L4,"")</x:f>
      </x:c>
      <x:c r="P4" s="2">
        <x:f>IF(AND(N4&lt;&gt;"",M4&lt;&gt;""),IF(N4&lt;=M4,"Yes","No"),"")</x:f>
      </x:c>
      <x:c r="Q4" s="2" t="inlineStr">
        <x:is>
          <x:t xml:space="preserve">High</x:t>
        </x:is>
      </x:c>
      <x:c r="R4" s="2" t="inlineStr">
        <x:is>
          <x:t xml:space="preserve">Waiting for sample sign-off</x:t>
        </x:is>
      </x:c>
      <x:c r="S4" s="5" t="n">
        <x:v>0.2</x:v>
      </x:c>
      <x:c r="T4" s="3">
        <x:f>IF(AND(G4&lt;&gt;"",S4&lt;&gt;""),ROUNDUP(G4*S4,0),"")</x:f>
        <x:v>60</x:v>
      </x:c>
      <x:c r="U4" s="2" t="inlineStr">
        <x:is>
          <x:t xml:space="preserve">Not Started</x:t>
        </x:is>
      </x:c>
      <x:c r="V4" s="3" t="n">
        <x:v>0</x:v>
      </x:c>
      <x:c r="W4" s="3" t="n">
        <x:v>0</x:v>
      </x:c>
      <x:c r="X4" s="3">
        <x:f>IF(OR(V4&lt;&gt;"",W4&lt;&gt;""),V4+W4,"")</x:f>
        <x:v>0</x:v>
      </x:c>
      <x:c r="Y4" s="6">
        <x:f>IF(AND(X4&lt;&gt;"",T4&lt;&gt;""),X4/T4,"")</x:f>
        <x:v>0</x:v>
      </x:c>
      <x:c r="Z4" s="2" t="inlineStr">
        <x:is>
          <x:t xml:space="preserve">No</x:t>
        </x:is>
      </x:c>
      <x:c r="AA4" s="2" t="inlineStr">
        <x:is>
          <x:t xml:space="preserve"/>
        </x:is>
      </x:c>
      <x:c r="AB4" s="2" t="inlineStr">
        <x:is>
          <x:t xml:space="preserve"/>
        </x:is>
      </x:c>
    </x:row>
    <x:row r="5" ht="18" customHeight="1">
      <x:c r="A5" s="2" t="n"/>
      <x:c r="B5" s="2" t="n"/>
      <x:c r="C5" s="2" t="n"/>
      <x:c r="D5" s="2" t="n"/>
      <x:c r="E5" s="2" t="n"/>
      <x:c r="F5" s="2" t="n"/>
      <x:c r="G5" s="3" t="n"/>
      <x:c r="H5" s="2" t="n"/>
      <x:c r="I5" s="2" t="n"/>
      <x:c r="J5" s="2" t="n"/>
      <x:c r="K5" s="2" t="n"/>
      <x:c r="L5" s="4" t="n"/>
      <x:c r="M5" s="4" t="n"/>
      <x:c r="N5" s="4" t="n"/>
      <x:c r="O5" s="2">
        <x:f>IF(AND(N5&lt;&gt;"",L5&lt;&gt;""),N5-L5,"")</x:f>
      </x:c>
      <x:c r="P5" s="2">
        <x:f>IF(AND(N5&lt;&gt;"",M5&lt;&gt;""),IF(N5&lt;=M5,"Yes","No"),"")</x:f>
      </x:c>
      <x:c r="Q5" s="2" t="n"/>
      <x:c r="R5" s="2" t="n"/>
      <x:c r="S5" s="5" t="n"/>
      <x:c r="T5" s="3">
        <x:f>IF(AND(G5&lt;&gt;"",S5&lt;&gt;""),ROUNDUP(G5*S5,0),"")</x:f>
      </x:c>
      <x:c r="U5" s="2" t="n"/>
      <x:c r="V5" s="3" t="n"/>
      <x:c r="W5" s="3" t="n"/>
      <x:c r="X5" s="3">
        <x:f>IF(OR(V5&lt;&gt;"",W5&lt;&gt;""),V5+W5,"")</x:f>
      </x:c>
      <x:c r="Y5" s="6">
        <x:f>IF(AND(X5&lt;&gt;"",T5&lt;&gt;""),X5/T5,"")</x:f>
      </x:c>
      <x:c r="Z5" s="2" t="n"/>
      <x:c r="AA5" s="2" t="n"/>
      <x:c r="AB5" s="2" t="n"/>
    </x:row>
    <x:row r="6" ht="18" customHeight="1">
      <x:c r="A6" s="2" t="n"/>
      <x:c r="B6" s="2" t="n"/>
      <x:c r="C6" s="2" t="n"/>
      <x:c r="D6" s="2" t="n"/>
      <x:c r="E6" s="2" t="n"/>
      <x:c r="F6" s="2" t="n"/>
      <x:c r="G6" s="3" t="n"/>
      <x:c r="H6" s="2" t="n"/>
      <x:c r="I6" s="2" t="n"/>
      <x:c r="J6" s="2" t="n"/>
      <x:c r="K6" s="2" t="n"/>
      <x:c r="L6" s="4" t="n"/>
      <x:c r="M6" s="4" t="n"/>
      <x:c r="N6" s="4" t="n"/>
      <x:c r="O6" s="2">
        <x:f>IF(AND(N6&lt;&gt;"",L6&lt;&gt;""),N6-L6,"")</x:f>
      </x:c>
      <x:c r="P6" s="2">
        <x:f>IF(AND(N6&lt;&gt;"",M6&lt;&gt;""),IF(N6&lt;=M6,"Yes","No"),"")</x:f>
      </x:c>
      <x:c r="Q6" s="2" t="n"/>
      <x:c r="R6" s="2" t="n"/>
      <x:c r="S6" s="5" t="n"/>
      <x:c r="T6" s="3">
        <x:f>IF(AND(G6&lt;&gt;"",S6&lt;&gt;""),ROUNDUP(G6*S6,0),"")</x:f>
      </x:c>
      <x:c r="U6" s="2" t="n"/>
      <x:c r="V6" s="3" t="n"/>
      <x:c r="W6" s="3" t="n"/>
      <x:c r="X6" s="3">
        <x:f>IF(OR(V6&lt;&gt;"",W6&lt;&gt;""),V6+W6,"")</x:f>
      </x:c>
      <x:c r="Y6" s="6">
        <x:f>IF(AND(X6&lt;&gt;"",T6&lt;&gt;""),X6/T6,"")</x:f>
      </x:c>
      <x:c r="Z6" s="2" t="n"/>
      <x:c r="AA6" s="2" t="n"/>
      <x:c r="AB6" s="2" t="n"/>
    </x:row>
    <x:row r="7" ht="18" customHeight="1">
      <x:c r="A7" s="2" t="n"/>
      <x:c r="B7" s="2" t="n"/>
      <x:c r="C7" s="2" t="n"/>
      <x:c r="D7" s="2" t="n"/>
      <x:c r="E7" s="2" t="n"/>
      <x:c r="F7" s="2" t="n"/>
      <x:c r="G7" s="3" t="n"/>
      <x:c r="H7" s="2" t="n"/>
      <x:c r="I7" s="2" t="n"/>
      <x:c r="J7" s="2" t="n"/>
      <x:c r="K7" s="2" t="n"/>
      <x:c r="L7" s="4" t="n"/>
      <x:c r="M7" s="4" t="n"/>
      <x:c r="N7" s="4" t="n"/>
      <x:c r="O7" s="2">
        <x:f>IF(AND(N7&lt;&gt;"",L7&lt;&gt;""),N7-L7,"")</x:f>
      </x:c>
      <x:c r="P7" s="2">
        <x:f>IF(AND(N7&lt;&gt;"",M7&lt;&gt;""),IF(N7&lt;=M7,"Yes","No"),"")</x:f>
      </x:c>
      <x:c r="Q7" s="2" t="n"/>
      <x:c r="R7" s="2" t="n"/>
      <x:c r="S7" s="5" t="n"/>
      <x:c r="T7" s="3">
        <x:f>IF(AND(G7&lt;&gt;"",S7&lt;&gt;""),ROUNDUP(G7*S7,0),"")</x:f>
      </x:c>
      <x:c r="U7" s="2" t="n"/>
      <x:c r="V7" s="3" t="n"/>
      <x:c r="W7" s="3" t="n"/>
      <x:c r="X7" s="3">
        <x:f>IF(OR(V7&lt;&gt;"",W7&lt;&gt;""),V7+W7,"")</x:f>
      </x:c>
      <x:c r="Y7" s="6">
        <x:f>IF(AND(X7&lt;&gt;"",T7&lt;&gt;""),X7/T7,"")</x:f>
      </x:c>
      <x:c r="Z7" s="2" t="n"/>
      <x:c r="AA7" s="2" t="n"/>
      <x:c r="AB7" s="2" t="n"/>
    </x:row>
    <x:row r="8" ht="18" customHeight="1">
      <x:c r="A8" s="2" t="n"/>
      <x:c r="B8" s="2" t="n"/>
      <x:c r="C8" s="2" t="n"/>
      <x:c r="D8" s="2" t="n"/>
      <x:c r="E8" s="2" t="n"/>
      <x:c r="F8" s="2" t="n"/>
      <x:c r="G8" s="3" t="n"/>
      <x:c r="H8" s="2" t="n"/>
      <x:c r="I8" s="2" t="n"/>
      <x:c r="J8" s="2" t="n"/>
      <x:c r="K8" s="2" t="n"/>
      <x:c r="L8" s="4" t="n"/>
      <x:c r="M8" s="4" t="n"/>
      <x:c r="N8" s="4" t="n"/>
      <x:c r="O8" s="2">
        <x:f>IF(AND(N8&lt;&gt;"",L8&lt;&gt;""),N8-L8,"")</x:f>
      </x:c>
      <x:c r="P8" s="2">
        <x:f>IF(AND(N8&lt;&gt;"",M8&lt;&gt;""),IF(N8&lt;=M8,"Yes","No"),"")</x:f>
      </x:c>
      <x:c r="Q8" s="2" t="n"/>
      <x:c r="R8" s="2" t="n"/>
      <x:c r="S8" s="5" t="n"/>
      <x:c r="T8" s="3">
        <x:f>IF(AND(G8&lt;&gt;"",S8&lt;&gt;""),ROUNDUP(G8*S8,0),"")</x:f>
      </x:c>
      <x:c r="U8" s="2" t="n"/>
      <x:c r="V8" s="3" t="n"/>
      <x:c r="W8" s="3" t="n"/>
      <x:c r="X8" s="3">
        <x:f>IF(OR(V8&lt;&gt;"",W8&lt;&gt;""),V8+W8,"")</x:f>
      </x:c>
      <x:c r="Y8" s="6">
        <x:f>IF(AND(X8&lt;&gt;"",T8&lt;&gt;""),X8/T8,"")</x:f>
      </x:c>
      <x:c r="Z8" s="2" t="n"/>
      <x:c r="AA8" s="2" t="n"/>
      <x:c r="AB8" s="2" t="n"/>
    </x:row>
    <x:row r="9" ht="18" customHeight="1">
      <x:c r="A9" s="2" t="n"/>
      <x:c r="B9" s="2" t="n"/>
      <x:c r="C9" s="2" t="n"/>
      <x:c r="D9" s="2" t="n"/>
      <x:c r="E9" s="2" t="n"/>
      <x:c r="F9" s="2" t="n"/>
      <x:c r="G9" s="3" t="n"/>
      <x:c r="H9" s="2" t="n"/>
      <x:c r="I9" s="2" t="n"/>
      <x:c r="J9" s="2" t="n"/>
      <x:c r="K9" s="2" t="n"/>
      <x:c r="L9" s="4" t="n"/>
      <x:c r="M9" s="4" t="n"/>
      <x:c r="N9" s="4" t="n"/>
      <x:c r="O9" s="2">
        <x:f>IF(AND(N9&lt;&gt;"",L9&lt;&gt;""),N9-L9,"")</x:f>
      </x:c>
      <x:c r="P9" s="2">
        <x:f>IF(AND(N9&lt;&gt;"",M9&lt;&gt;""),IF(N9&lt;=M9,"Yes","No"),"")</x:f>
      </x:c>
      <x:c r="Q9" s="2" t="n"/>
      <x:c r="R9" s="2" t="n"/>
      <x:c r="S9" s="5" t="n"/>
      <x:c r="T9" s="3">
        <x:f>IF(AND(G9&lt;&gt;"",S9&lt;&gt;""),ROUNDUP(G9*S9,0),"")</x:f>
      </x:c>
      <x:c r="U9" s="2" t="n"/>
      <x:c r="V9" s="3" t="n"/>
      <x:c r="W9" s="3" t="n"/>
      <x:c r="X9" s="3">
        <x:f>IF(OR(V9&lt;&gt;"",W9&lt;&gt;""),V9+W9,"")</x:f>
      </x:c>
      <x:c r="Y9" s="6">
        <x:f>IF(AND(X9&lt;&gt;"",T9&lt;&gt;""),X9/T9,"")</x:f>
      </x:c>
      <x:c r="Z9" s="2" t="n"/>
      <x:c r="AA9" s="2" t="n"/>
      <x:c r="AB9" s="2" t="n"/>
    </x:row>
    <x:row r="10" ht="18" customHeight="1">
      <x:c r="A10" s="2" t="n"/>
      <x:c r="B10" s="2" t="n"/>
      <x:c r="C10" s="2" t="n"/>
      <x:c r="D10" s="2" t="n"/>
      <x:c r="E10" s="2" t="n"/>
      <x:c r="F10" s="2" t="n"/>
      <x:c r="G10" s="3" t="n"/>
      <x:c r="H10" s="2" t="n"/>
      <x:c r="I10" s="2" t="n"/>
      <x:c r="J10" s="2" t="n"/>
      <x:c r="K10" s="2" t="n"/>
      <x:c r="L10" s="4" t="n"/>
      <x:c r="M10" s="4" t="n"/>
      <x:c r="N10" s="4" t="n"/>
      <x:c r="O10" s="2">
        <x:f>IF(AND(N10&lt;&gt;"",L10&lt;&gt;""),N10-L10,"")</x:f>
      </x:c>
      <x:c r="P10" s="2">
        <x:f>IF(AND(N10&lt;&gt;"",M10&lt;&gt;""),IF(N10&lt;=M10,"Yes","No"),"")</x:f>
      </x:c>
      <x:c r="Q10" s="2" t="n"/>
      <x:c r="R10" s="2" t="n"/>
      <x:c r="S10" s="5" t="n"/>
      <x:c r="T10" s="3">
        <x:f>IF(AND(G10&lt;&gt;"",S10&lt;&gt;""),ROUNDUP(G10*S10,0),"")</x:f>
      </x:c>
      <x:c r="U10" s="2" t="n"/>
      <x:c r="V10" s="3" t="n"/>
      <x:c r="W10" s="3" t="n"/>
      <x:c r="X10" s="3">
        <x:f>IF(OR(V10&lt;&gt;"",W10&lt;&gt;""),V10+W10,"")</x:f>
      </x:c>
      <x:c r="Y10" s="6">
        <x:f>IF(AND(X10&lt;&gt;"",T10&lt;&gt;""),X10/T10,"")</x:f>
      </x:c>
      <x:c r="Z10" s="2" t="n"/>
      <x:c r="AA10" s="2" t="n"/>
      <x:c r="AB10" s="2" t="n"/>
    </x:row>
    <x:row r="11" ht="18" customHeight="1">
      <x:c r="A11" s="2" t="n"/>
      <x:c r="B11" s="2" t="n"/>
      <x:c r="C11" s="2" t="n"/>
      <x:c r="D11" s="2" t="n"/>
      <x:c r="E11" s="2" t="n"/>
      <x:c r="F11" s="2" t="n"/>
      <x:c r="G11" s="3" t="n"/>
      <x:c r="H11" s="2" t="n"/>
      <x:c r="I11" s="2" t="n"/>
      <x:c r="J11" s="2" t="n"/>
      <x:c r="K11" s="2" t="n"/>
      <x:c r="L11" s="4" t="n"/>
      <x:c r="M11" s="4" t="n"/>
      <x:c r="N11" s="4" t="n"/>
      <x:c r="O11" s="2">
        <x:f>IF(AND(N11&lt;&gt;"",L11&lt;&gt;""),N11-L11,"")</x:f>
      </x:c>
      <x:c r="P11" s="2">
        <x:f>IF(AND(N11&lt;&gt;"",M11&lt;&gt;""),IF(N11&lt;=M11,"Yes","No"),"")</x:f>
      </x:c>
      <x:c r="Q11" s="2" t="n"/>
      <x:c r="R11" s="2" t="n"/>
      <x:c r="S11" s="5" t="n"/>
      <x:c r="T11" s="3">
        <x:f>IF(AND(G11&lt;&gt;"",S11&lt;&gt;""),ROUNDUP(G11*S11,0),"")</x:f>
      </x:c>
      <x:c r="U11" s="2" t="n"/>
      <x:c r="V11" s="3" t="n"/>
      <x:c r="W11" s="3" t="n"/>
      <x:c r="X11" s="3">
        <x:f>IF(OR(V11&lt;&gt;"",W11&lt;&gt;""),V11+W11,"")</x:f>
      </x:c>
      <x:c r="Y11" s="6">
        <x:f>IF(AND(X11&lt;&gt;"",T11&lt;&gt;""),X11/T11,"")</x:f>
      </x:c>
      <x:c r="Z11" s="2" t="n"/>
      <x:c r="AA11" s="2" t="n"/>
      <x:c r="AB11" s="2" t="n"/>
    </x:row>
    <x:row r="12" ht="18" customHeight="1">
      <x:c r="A12" s="2" t="n"/>
      <x:c r="B12" s="2" t="n"/>
      <x:c r="C12" s="2" t="n"/>
      <x:c r="D12" s="2" t="n"/>
      <x:c r="E12" s="2" t="n"/>
      <x:c r="F12" s="2" t="n"/>
      <x:c r="G12" s="3" t="n"/>
      <x:c r="H12" s="2" t="n"/>
      <x:c r="I12" s="2" t="n"/>
      <x:c r="J12" s="2" t="n"/>
      <x:c r="K12" s="2" t="n"/>
      <x:c r="L12" s="4" t="n"/>
      <x:c r="M12" s="4" t="n"/>
      <x:c r="N12" s="4" t="n"/>
      <x:c r="O12" s="2">
        <x:f>IF(AND(N12&lt;&gt;"",L12&lt;&gt;""),N12-L12,"")</x:f>
      </x:c>
      <x:c r="P12" s="2">
        <x:f>IF(AND(N12&lt;&gt;"",M12&lt;&gt;""),IF(N12&lt;=M12,"Yes","No"),"")</x:f>
      </x:c>
      <x:c r="Q12" s="2" t="n"/>
      <x:c r="R12" s="2" t="n"/>
      <x:c r="S12" s="5" t="n"/>
      <x:c r="T12" s="3">
        <x:f>IF(AND(G12&lt;&gt;"",S12&lt;&gt;""),ROUNDUP(G12*S12,0),"")</x:f>
      </x:c>
      <x:c r="U12" s="2" t="n"/>
      <x:c r="V12" s="3" t="n"/>
      <x:c r="W12" s="3" t="n"/>
      <x:c r="X12" s="3">
        <x:f>IF(OR(V12&lt;&gt;"",W12&lt;&gt;""),V12+W12,"")</x:f>
      </x:c>
      <x:c r="Y12" s="6">
        <x:f>IF(AND(X12&lt;&gt;"",T12&lt;&gt;""),X12/T12,"")</x:f>
      </x:c>
      <x:c r="Z12" s="2" t="n"/>
      <x:c r="AA12" s="2" t="n"/>
      <x:c r="AB12" s="2" t="n"/>
    </x:row>
    <x:row r="13" ht="18" customHeight="1">
      <x:c r="A13" s="2" t="n"/>
      <x:c r="B13" s="2" t="n"/>
      <x:c r="C13" s="2" t="n"/>
      <x:c r="D13" s="2" t="n"/>
      <x:c r="E13" s="2" t="n"/>
      <x:c r="F13" s="2" t="n"/>
      <x:c r="G13" s="3" t="n"/>
      <x:c r="H13" s="2" t="n"/>
      <x:c r="I13" s="2" t="n"/>
      <x:c r="J13" s="2" t="n"/>
      <x:c r="K13" s="2" t="n"/>
      <x:c r="L13" s="4" t="n"/>
      <x:c r="M13" s="4" t="n"/>
      <x:c r="N13" s="4" t="n"/>
      <x:c r="O13" s="2">
        <x:f>IF(AND(N13&lt;&gt;"",L13&lt;&gt;""),N13-L13,"")</x:f>
      </x:c>
      <x:c r="P13" s="2">
        <x:f>IF(AND(N13&lt;&gt;"",M13&lt;&gt;""),IF(N13&lt;=M13,"Yes","No"),"")</x:f>
      </x:c>
      <x:c r="Q13" s="2" t="n"/>
      <x:c r="R13" s="2" t="n"/>
      <x:c r="S13" s="5" t="n"/>
      <x:c r="T13" s="3">
        <x:f>IF(AND(G13&lt;&gt;"",S13&lt;&gt;""),ROUNDUP(G13*S13,0),"")</x:f>
      </x:c>
      <x:c r="U13" s="2" t="n"/>
      <x:c r="V13" s="3" t="n"/>
      <x:c r="W13" s="3" t="n"/>
      <x:c r="X13" s="3">
        <x:f>IF(OR(V13&lt;&gt;"",W13&lt;&gt;""),V13+W13,"")</x:f>
      </x:c>
      <x:c r="Y13" s="6">
        <x:f>IF(AND(X13&lt;&gt;"",T13&lt;&gt;""),X13/T13,"")</x:f>
      </x:c>
      <x:c r="Z13" s="2" t="n"/>
      <x:c r="AA13" s="2" t="n"/>
      <x:c r="AB13" s="2" t="n"/>
    </x:row>
    <x:row r="14" ht="18" customHeight="1">
      <x:c r="A14" s="2" t="n"/>
      <x:c r="B14" s="2" t="n"/>
      <x:c r="C14" s="2" t="n"/>
      <x:c r="D14" s="2" t="n"/>
      <x:c r="E14" s="2" t="n"/>
      <x:c r="F14" s="2" t="n"/>
      <x:c r="G14" s="3" t="n"/>
      <x:c r="H14" s="2" t="n"/>
      <x:c r="I14" s="2" t="n"/>
      <x:c r="J14" s="2" t="n"/>
      <x:c r="K14" s="2" t="n"/>
      <x:c r="L14" s="4" t="n"/>
      <x:c r="M14" s="4" t="n"/>
      <x:c r="N14" s="4" t="n"/>
      <x:c r="O14" s="2">
        <x:f>IF(AND(N14&lt;&gt;"",L14&lt;&gt;""),N14-L14,"")</x:f>
      </x:c>
      <x:c r="P14" s="2">
        <x:f>IF(AND(N14&lt;&gt;"",M14&lt;&gt;""),IF(N14&lt;=M14,"Yes","No"),"")</x:f>
      </x:c>
      <x:c r="Q14" s="2" t="n"/>
      <x:c r="R14" s="2" t="n"/>
      <x:c r="S14" s="5" t="n"/>
      <x:c r="T14" s="3">
        <x:f>IF(AND(G14&lt;&gt;"",S14&lt;&gt;""),ROUNDUP(G14*S14,0),"")</x:f>
      </x:c>
      <x:c r="U14" s="2" t="n"/>
      <x:c r="V14" s="3" t="n"/>
      <x:c r="W14" s="3" t="n"/>
      <x:c r="X14" s="3">
        <x:f>IF(OR(V14&lt;&gt;"",W14&lt;&gt;""),V14+W14,"")</x:f>
      </x:c>
      <x:c r="Y14" s="6">
        <x:f>IF(AND(X14&lt;&gt;"",T14&lt;&gt;""),X14/T14,"")</x:f>
      </x:c>
      <x:c r="Z14" s="2" t="n"/>
      <x:c r="AA14" s="2" t="n"/>
      <x:c r="AB14" s="2" t="n"/>
    </x:row>
    <x:row r="15" ht="18" customHeight="1">
      <x:c r="A15" s="2" t="n"/>
      <x:c r="B15" s="2" t="n"/>
      <x:c r="C15" s="2" t="n"/>
      <x:c r="D15" s="2" t="n"/>
      <x:c r="E15" s="2" t="n"/>
      <x:c r="F15" s="2" t="n"/>
      <x:c r="G15" s="3" t="n"/>
      <x:c r="H15" s="2" t="n"/>
      <x:c r="I15" s="2" t="n"/>
      <x:c r="J15" s="2" t="n"/>
      <x:c r="K15" s="2" t="n"/>
      <x:c r="L15" s="4" t="n"/>
      <x:c r="M15" s="4" t="n"/>
      <x:c r="N15" s="4" t="n"/>
      <x:c r="O15" s="2">
        <x:f>IF(AND(N15&lt;&gt;"",L15&lt;&gt;""),N15-L15,"")</x:f>
      </x:c>
      <x:c r="P15" s="2">
        <x:f>IF(AND(N15&lt;&gt;"",M15&lt;&gt;""),IF(N15&lt;=M15,"Yes","No"),"")</x:f>
      </x:c>
      <x:c r="Q15" s="2" t="n"/>
      <x:c r="R15" s="2" t="n"/>
      <x:c r="S15" s="5" t="n"/>
      <x:c r="T15" s="3">
        <x:f>IF(AND(G15&lt;&gt;"",S15&lt;&gt;""),ROUNDUP(G15*S15,0),"")</x:f>
      </x:c>
      <x:c r="U15" s="2" t="n"/>
      <x:c r="V15" s="3" t="n"/>
      <x:c r="W15" s="3" t="n"/>
      <x:c r="X15" s="3">
        <x:f>IF(OR(V15&lt;&gt;"",W15&lt;&gt;""),V15+W15,"")</x:f>
      </x:c>
      <x:c r="Y15" s="6">
        <x:f>IF(AND(X15&lt;&gt;"",T15&lt;&gt;""),X15/T15,"")</x:f>
      </x:c>
      <x:c r="Z15" s="2" t="n"/>
      <x:c r="AA15" s="2" t="n"/>
      <x:c r="AB15" s="2" t="n"/>
    </x:row>
    <x:row r="16" ht="18" customHeight="1">
      <x:c r="A16" s="2" t="n"/>
      <x:c r="B16" s="2" t="n"/>
      <x:c r="C16" s="2" t="n"/>
      <x:c r="D16" s="2" t="n"/>
      <x:c r="E16" s="2" t="n"/>
      <x:c r="F16" s="2" t="n"/>
      <x:c r="G16" s="3" t="n"/>
      <x:c r="H16" s="2" t="n"/>
      <x:c r="I16" s="2" t="n"/>
      <x:c r="J16" s="2" t="n"/>
      <x:c r="K16" s="2" t="n"/>
      <x:c r="L16" s="4" t="n"/>
      <x:c r="M16" s="4" t="n"/>
      <x:c r="N16" s="4" t="n"/>
      <x:c r="O16" s="2">
        <x:f>IF(AND(N16&lt;&gt;"",L16&lt;&gt;""),N16-L16,"")</x:f>
      </x:c>
      <x:c r="P16" s="2">
        <x:f>IF(AND(N16&lt;&gt;"",M16&lt;&gt;""),IF(N16&lt;=M16,"Yes","No"),"")</x:f>
      </x:c>
      <x:c r="Q16" s="2" t="n"/>
      <x:c r="R16" s="2" t="n"/>
      <x:c r="S16" s="5" t="n"/>
      <x:c r="T16" s="3">
        <x:f>IF(AND(G16&lt;&gt;"",S16&lt;&gt;""),ROUNDUP(G16*S16,0),"")</x:f>
      </x:c>
      <x:c r="U16" s="2" t="n"/>
      <x:c r="V16" s="3" t="n"/>
      <x:c r="W16" s="3" t="n"/>
      <x:c r="X16" s="3">
        <x:f>IF(OR(V16&lt;&gt;"",W16&lt;&gt;""),V16+W16,"")</x:f>
      </x:c>
      <x:c r="Y16" s="6">
        <x:f>IF(AND(X16&lt;&gt;"",T16&lt;&gt;""),X16/T16,"")</x:f>
      </x:c>
      <x:c r="Z16" s="2" t="n"/>
      <x:c r="AA16" s="2" t="n"/>
      <x:c r="AB16" s="2" t="n"/>
    </x:row>
    <x:row r="17" ht="18" customHeight="1">
      <x:c r="A17" s="2" t="n"/>
      <x:c r="B17" s="2" t="n"/>
      <x:c r="C17" s="2" t="n"/>
      <x:c r="D17" s="2" t="n"/>
      <x:c r="E17" s="2" t="n"/>
      <x:c r="F17" s="2" t="n"/>
      <x:c r="G17" s="3" t="n"/>
      <x:c r="H17" s="2" t="n"/>
      <x:c r="I17" s="2" t="n"/>
      <x:c r="J17" s="2" t="n"/>
      <x:c r="K17" s="2" t="n"/>
      <x:c r="L17" s="4" t="n"/>
      <x:c r="M17" s="4" t="n"/>
      <x:c r="N17" s="4" t="n"/>
      <x:c r="O17" s="2">
        <x:f>IF(AND(N17&lt;&gt;"",L17&lt;&gt;""),N17-L17,"")</x:f>
      </x:c>
      <x:c r="P17" s="2">
        <x:f>IF(AND(N17&lt;&gt;"",M17&lt;&gt;""),IF(N17&lt;=M17,"Yes","No"),"")</x:f>
      </x:c>
      <x:c r="Q17" s="2" t="n"/>
      <x:c r="R17" s="2" t="n"/>
      <x:c r="S17" s="5" t="n"/>
      <x:c r="T17" s="3">
        <x:f>IF(AND(G17&lt;&gt;"",S17&lt;&gt;""),ROUNDUP(G17*S17,0),"")</x:f>
      </x:c>
      <x:c r="U17" s="2" t="n"/>
      <x:c r="V17" s="3" t="n"/>
      <x:c r="W17" s="3" t="n"/>
      <x:c r="X17" s="3">
        <x:f>IF(OR(V17&lt;&gt;"",W17&lt;&gt;""),V17+W17,"")</x:f>
      </x:c>
      <x:c r="Y17" s="6">
        <x:f>IF(AND(X17&lt;&gt;"",T17&lt;&gt;""),X17/T17,"")</x:f>
      </x:c>
      <x:c r="Z17" s="2" t="n"/>
      <x:c r="AA17" s="2" t="n"/>
      <x:c r="AB17" s="2" t="n"/>
    </x:row>
    <x:row r="18" ht="18" customHeight="1">
      <x:c r="A18" s="2" t="n"/>
      <x:c r="B18" s="2" t="n"/>
      <x:c r="C18" s="2" t="n"/>
      <x:c r="D18" s="2" t="n"/>
      <x:c r="E18" s="2" t="n"/>
      <x:c r="F18" s="2" t="n"/>
      <x:c r="G18" s="3" t="n"/>
      <x:c r="H18" s="2" t="n"/>
      <x:c r="I18" s="2" t="n"/>
      <x:c r="J18" s="2" t="n"/>
      <x:c r="K18" s="2" t="n"/>
      <x:c r="L18" s="4" t="n"/>
      <x:c r="M18" s="4" t="n"/>
      <x:c r="N18" s="4" t="n"/>
      <x:c r="O18" s="2">
        <x:f>IF(AND(N18&lt;&gt;"",L18&lt;&gt;""),N18-L18,"")</x:f>
      </x:c>
      <x:c r="P18" s="2">
        <x:f>IF(AND(N18&lt;&gt;"",M18&lt;&gt;""),IF(N18&lt;=M18,"Yes","No"),"")</x:f>
      </x:c>
      <x:c r="Q18" s="2" t="n"/>
      <x:c r="R18" s="2" t="n"/>
      <x:c r="S18" s="5" t="n"/>
      <x:c r="T18" s="3">
        <x:f>IF(AND(G18&lt;&gt;"",S18&lt;&gt;""),ROUNDUP(G18*S18,0),"")</x:f>
      </x:c>
      <x:c r="U18" s="2" t="n"/>
      <x:c r="V18" s="3" t="n"/>
      <x:c r="W18" s="3" t="n"/>
      <x:c r="X18" s="3">
        <x:f>IF(OR(V18&lt;&gt;"",W18&lt;&gt;""),V18+W18,"")</x:f>
      </x:c>
      <x:c r="Y18" s="6">
        <x:f>IF(AND(X18&lt;&gt;"",T18&lt;&gt;""),X18/T18,"")</x:f>
      </x:c>
      <x:c r="Z18" s="2" t="n"/>
      <x:c r="AA18" s="2" t="n"/>
      <x:c r="AB18" s="2" t="n"/>
    </x:row>
    <x:row r="19" ht="18" customHeight="1">
      <x:c r="A19" s="2" t="n"/>
      <x:c r="B19" s="2" t="n"/>
      <x:c r="C19" s="2" t="n"/>
      <x:c r="D19" s="2" t="n"/>
      <x:c r="E19" s="2" t="n"/>
      <x:c r="F19" s="2" t="n"/>
      <x:c r="G19" s="3" t="n"/>
      <x:c r="H19" s="2" t="n"/>
      <x:c r="I19" s="2" t="n"/>
      <x:c r="J19" s="2" t="n"/>
      <x:c r="K19" s="2" t="n"/>
      <x:c r="L19" s="4" t="n"/>
      <x:c r="M19" s="4" t="n"/>
      <x:c r="N19" s="4" t="n"/>
      <x:c r="O19" s="2">
        <x:f>IF(AND(N19&lt;&gt;"",L19&lt;&gt;""),N19-L19,"")</x:f>
      </x:c>
      <x:c r="P19" s="2">
        <x:f>IF(AND(N19&lt;&gt;"",M19&lt;&gt;""),IF(N19&lt;=M19,"Yes","No"),"")</x:f>
      </x:c>
      <x:c r="Q19" s="2" t="n"/>
      <x:c r="R19" s="2" t="n"/>
      <x:c r="S19" s="5" t="n"/>
      <x:c r="T19" s="3">
        <x:f>IF(AND(G19&lt;&gt;"",S19&lt;&gt;""),ROUNDUP(G19*S19,0),"")</x:f>
      </x:c>
      <x:c r="U19" s="2" t="n"/>
      <x:c r="V19" s="3" t="n"/>
      <x:c r="W19" s="3" t="n"/>
      <x:c r="X19" s="3">
        <x:f>IF(OR(V19&lt;&gt;"",W19&lt;&gt;""),V19+W19,"")</x:f>
      </x:c>
      <x:c r="Y19" s="6">
        <x:f>IF(AND(X19&lt;&gt;"",T19&lt;&gt;""),X19/T19,"")</x:f>
      </x:c>
      <x:c r="Z19" s="2" t="n"/>
      <x:c r="AA19" s="2" t="n"/>
      <x:c r="AB19" s="2" t="n"/>
    </x:row>
    <x:row r="20" ht="18" customHeight="1">
      <x:c r="A20" s="2" t="n"/>
      <x:c r="B20" s="2" t="n"/>
      <x:c r="C20" s="2" t="n"/>
      <x:c r="D20" s="2" t="n"/>
      <x:c r="E20" s="2" t="n"/>
      <x:c r="F20" s="2" t="n"/>
      <x:c r="G20" s="3" t="n"/>
      <x:c r="H20" s="2" t="n"/>
      <x:c r="I20" s="2" t="n"/>
      <x:c r="J20" s="2" t="n"/>
      <x:c r="K20" s="2" t="n"/>
      <x:c r="L20" s="4" t="n"/>
      <x:c r="M20" s="4" t="n"/>
      <x:c r="N20" s="4" t="n"/>
      <x:c r="O20" s="2">
        <x:f>IF(AND(N20&lt;&gt;"",L20&lt;&gt;""),N20-L20,"")</x:f>
      </x:c>
      <x:c r="P20" s="2">
        <x:f>IF(AND(N20&lt;&gt;"",M20&lt;&gt;""),IF(N20&lt;=M20,"Yes","No"),"")</x:f>
      </x:c>
      <x:c r="Q20" s="2" t="n"/>
      <x:c r="R20" s="2" t="n"/>
      <x:c r="S20" s="5" t="n"/>
      <x:c r="T20" s="3">
        <x:f>IF(AND(G20&lt;&gt;"",S20&lt;&gt;""),ROUNDUP(G20*S20,0),"")</x:f>
      </x:c>
      <x:c r="U20" s="2" t="n"/>
      <x:c r="V20" s="3" t="n"/>
      <x:c r="W20" s="3" t="n"/>
      <x:c r="X20" s="3">
        <x:f>IF(OR(V20&lt;&gt;"",W20&lt;&gt;""),V20+W20,"")</x:f>
      </x:c>
      <x:c r="Y20" s="6">
        <x:f>IF(AND(X20&lt;&gt;"",T20&lt;&gt;""),X20/T20,"")</x:f>
      </x:c>
      <x:c r="Z20" s="2" t="n"/>
      <x:c r="AA20" s="2" t="n"/>
      <x:c r="AB20" s="2" t="n"/>
    </x:row>
    <x:row r="21" ht="18" customHeight="1">
      <x:c r="A21" s="2" t="n"/>
      <x:c r="B21" s="2" t="n"/>
      <x:c r="C21" s="2" t="n"/>
      <x:c r="D21" s="2" t="n"/>
      <x:c r="E21" s="2" t="n"/>
      <x:c r="F21" s="2" t="n"/>
      <x:c r="G21" s="3" t="n"/>
      <x:c r="H21" s="2" t="n"/>
      <x:c r="I21" s="2" t="n"/>
      <x:c r="J21" s="2" t="n"/>
      <x:c r="K21" s="2" t="n"/>
      <x:c r="L21" s="4" t="n"/>
      <x:c r="M21" s="4" t="n"/>
      <x:c r="N21" s="4" t="n"/>
      <x:c r="O21" s="2">
        <x:f>IF(AND(N21&lt;&gt;"",L21&lt;&gt;""),N21-L21,"")</x:f>
      </x:c>
      <x:c r="P21" s="2">
        <x:f>IF(AND(N21&lt;&gt;"",M21&lt;&gt;""),IF(N21&lt;=M21,"Yes","No"),"")</x:f>
      </x:c>
      <x:c r="Q21" s="2" t="n"/>
      <x:c r="R21" s="2" t="n"/>
      <x:c r="S21" s="5" t="n"/>
      <x:c r="T21" s="3">
        <x:f>IF(AND(G21&lt;&gt;"",S21&lt;&gt;""),ROUNDUP(G21*S21,0),"")</x:f>
      </x:c>
      <x:c r="U21" s="2" t="n"/>
      <x:c r="V21" s="3" t="n"/>
      <x:c r="W21" s="3" t="n"/>
      <x:c r="X21" s="3">
        <x:f>IF(OR(V21&lt;&gt;"",W21&lt;&gt;""),V21+W21,"")</x:f>
      </x:c>
      <x:c r="Y21" s="6">
        <x:f>IF(AND(X21&lt;&gt;"",T21&lt;&gt;""),X21/T21,"")</x:f>
      </x:c>
      <x:c r="Z21" s="2" t="n"/>
      <x:c r="AA21" s="2" t="n"/>
      <x:c r="AB21" s="2" t="n"/>
    </x:row>
    <x:row r="22" ht="18" customHeight="1">
      <x:c r="A22" s="2" t="n"/>
      <x:c r="B22" s="2" t="n"/>
      <x:c r="C22" s="2" t="n"/>
      <x:c r="D22" s="2" t="n"/>
      <x:c r="E22" s="2" t="n"/>
      <x:c r="F22" s="2" t="n"/>
      <x:c r="G22" s="3" t="n"/>
      <x:c r="H22" s="2" t="n"/>
      <x:c r="I22" s="2" t="n"/>
      <x:c r="J22" s="2" t="n"/>
      <x:c r="K22" s="2" t="n"/>
      <x:c r="L22" s="4" t="n"/>
      <x:c r="M22" s="4" t="n"/>
      <x:c r="N22" s="4" t="n"/>
      <x:c r="O22" s="2">
        <x:f>IF(AND(N22&lt;&gt;"",L22&lt;&gt;""),N22-L22,"")</x:f>
      </x:c>
      <x:c r="P22" s="2">
        <x:f>IF(AND(N22&lt;&gt;"",M22&lt;&gt;""),IF(N22&lt;=M22,"Yes","No"),"")</x:f>
      </x:c>
      <x:c r="Q22" s="2" t="n"/>
      <x:c r="R22" s="2" t="n"/>
      <x:c r="S22" s="5" t="n"/>
      <x:c r="T22" s="3">
        <x:f>IF(AND(G22&lt;&gt;"",S22&lt;&gt;""),ROUNDUP(G22*S22,0),"")</x:f>
      </x:c>
      <x:c r="U22" s="2" t="n"/>
      <x:c r="V22" s="3" t="n"/>
      <x:c r="W22" s="3" t="n"/>
      <x:c r="X22" s="3">
        <x:f>IF(OR(V22&lt;&gt;"",W22&lt;&gt;""),V22+W22,"")</x:f>
      </x:c>
      <x:c r="Y22" s="6">
        <x:f>IF(AND(X22&lt;&gt;"",T22&lt;&gt;""),X22/T22,"")</x:f>
      </x:c>
      <x:c r="Z22" s="2" t="n"/>
      <x:c r="AA22" s="2" t="n"/>
      <x:c r="AB22" s="2" t="n"/>
    </x:row>
    <x:row r="23" ht="18" customHeight="1">
      <x:c r="A23" s="2" t="n"/>
      <x:c r="B23" s="2" t="n"/>
      <x:c r="C23" s="2" t="n"/>
      <x:c r="D23" s="2" t="n"/>
      <x:c r="E23" s="2" t="n"/>
      <x:c r="F23" s="2" t="n"/>
      <x:c r="G23" s="3" t="n"/>
      <x:c r="H23" s="2" t="n"/>
      <x:c r="I23" s="2" t="n"/>
      <x:c r="J23" s="2" t="n"/>
      <x:c r="K23" s="2" t="n"/>
      <x:c r="L23" s="4" t="n"/>
      <x:c r="M23" s="4" t="n"/>
      <x:c r="N23" s="4" t="n"/>
      <x:c r="O23" s="2">
        <x:f>IF(AND(N23&lt;&gt;"",L23&lt;&gt;""),N23-L23,"")</x:f>
      </x:c>
      <x:c r="P23" s="2">
        <x:f>IF(AND(N23&lt;&gt;"",M23&lt;&gt;""),IF(N23&lt;=M23,"Yes","No"),"")</x:f>
      </x:c>
      <x:c r="Q23" s="2" t="n"/>
      <x:c r="R23" s="2" t="n"/>
      <x:c r="S23" s="5" t="n"/>
      <x:c r="T23" s="3">
        <x:f>IF(AND(G23&lt;&gt;"",S23&lt;&gt;""),ROUNDUP(G23*S23,0),"")</x:f>
      </x:c>
      <x:c r="U23" s="2" t="n"/>
      <x:c r="V23" s="3" t="n"/>
      <x:c r="W23" s="3" t="n"/>
      <x:c r="X23" s="3">
        <x:f>IF(OR(V23&lt;&gt;"",W23&lt;&gt;""),V23+W23,"")</x:f>
      </x:c>
      <x:c r="Y23" s="6">
        <x:f>IF(AND(X23&lt;&gt;"",T23&lt;&gt;""),X23/T23,"")</x:f>
      </x:c>
      <x:c r="Z23" s="2" t="n"/>
      <x:c r="AA23" s="2" t="n"/>
      <x:c r="AB23" s="2" t="n"/>
    </x:row>
    <x:row r="24" ht="18" customHeight="1">
      <x:c r="A24" s="2" t="n"/>
      <x:c r="B24" s="2" t="n"/>
      <x:c r="C24" s="2" t="n"/>
      <x:c r="D24" s="2" t="n"/>
      <x:c r="E24" s="2" t="n"/>
      <x:c r="F24" s="2" t="n"/>
      <x:c r="G24" s="3" t="n"/>
      <x:c r="H24" s="2" t="n"/>
      <x:c r="I24" s="2" t="n"/>
      <x:c r="J24" s="2" t="n"/>
      <x:c r="K24" s="2" t="n"/>
      <x:c r="L24" s="4" t="n"/>
      <x:c r="M24" s="4" t="n"/>
      <x:c r="N24" s="4" t="n"/>
      <x:c r="O24" s="2">
        <x:f>IF(AND(N24&lt;&gt;"",L24&lt;&gt;""),N24-L24,"")</x:f>
      </x:c>
      <x:c r="P24" s="2">
        <x:f>IF(AND(N24&lt;&gt;"",M24&lt;&gt;""),IF(N24&lt;=M24,"Yes","No"),"")</x:f>
      </x:c>
      <x:c r="Q24" s="2" t="n"/>
      <x:c r="R24" s="2" t="n"/>
      <x:c r="S24" s="5" t="n"/>
      <x:c r="T24" s="3">
        <x:f>IF(AND(G24&lt;&gt;"",S24&lt;&gt;""),ROUNDUP(G24*S24,0),"")</x:f>
      </x:c>
      <x:c r="U24" s="2" t="n"/>
      <x:c r="V24" s="3" t="n"/>
      <x:c r="W24" s="3" t="n"/>
      <x:c r="X24" s="3">
        <x:f>IF(OR(V24&lt;&gt;"",W24&lt;&gt;""),V24+W24,"")</x:f>
      </x:c>
      <x:c r="Y24" s="6">
        <x:f>IF(AND(X24&lt;&gt;"",T24&lt;&gt;""),X24/T24,"")</x:f>
      </x:c>
      <x:c r="Z24" s="2" t="n"/>
      <x:c r="AA24" s="2" t="n"/>
      <x:c r="AB24" s="2" t="n"/>
    </x:row>
    <x:row r="25" ht="18" customHeight="1">
      <x:c r="A25" s="2" t="n"/>
      <x:c r="B25" s="2" t="n"/>
      <x:c r="C25" s="2" t="n"/>
      <x:c r="D25" s="2" t="n"/>
      <x:c r="E25" s="2" t="n"/>
      <x:c r="F25" s="2" t="n"/>
      <x:c r="G25" s="3" t="n"/>
      <x:c r="H25" s="2" t="n"/>
      <x:c r="I25" s="2" t="n"/>
      <x:c r="J25" s="2" t="n"/>
      <x:c r="K25" s="2" t="n"/>
      <x:c r="L25" s="4" t="n"/>
      <x:c r="M25" s="4" t="n"/>
      <x:c r="N25" s="4" t="n"/>
      <x:c r="O25" s="2">
        <x:f>IF(AND(N25&lt;&gt;"",L25&lt;&gt;""),N25-L25,"")</x:f>
      </x:c>
      <x:c r="P25" s="2">
        <x:f>IF(AND(N25&lt;&gt;"",M25&lt;&gt;""),IF(N25&lt;=M25,"Yes","No"),"")</x:f>
      </x:c>
      <x:c r="Q25" s="2" t="n"/>
      <x:c r="R25" s="2" t="n"/>
      <x:c r="S25" s="5" t="n"/>
      <x:c r="T25" s="3">
        <x:f>IF(AND(G25&lt;&gt;"",S25&lt;&gt;""),ROUNDUP(G25*S25,0),"")</x:f>
      </x:c>
      <x:c r="U25" s="2" t="n"/>
      <x:c r="V25" s="3" t="n"/>
      <x:c r="W25" s="3" t="n"/>
      <x:c r="X25" s="3">
        <x:f>IF(OR(V25&lt;&gt;"",W25&lt;&gt;""),V25+W25,"")</x:f>
      </x:c>
      <x:c r="Y25" s="6">
        <x:f>IF(AND(X25&lt;&gt;"",T25&lt;&gt;""),X25/T25,"")</x:f>
      </x:c>
      <x:c r="Z25" s="2" t="n"/>
      <x:c r="AA25" s="2" t="n"/>
      <x:c r="AB25" s="2" t="n"/>
    </x:row>
    <x:row r="26" ht="18" customHeight="1">
      <x:c r="A26" s="2" t="n"/>
      <x:c r="B26" s="2" t="n"/>
      <x:c r="C26" s="2" t="n"/>
      <x:c r="D26" s="2" t="n"/>
      <x:c r="E26" s="2" t="n"/>
      <x:c r="F26" s="2" t="n"/>
      <x:c r="G26" s="3" t="n"/>
      <x:c r="H26" s="2" t="n"/>
      <x:c r="I26" s="2" t="n"/>
      <x:c r="J26" s="2" t="n"/>
      <x:c r="K26" s="2" t="n"/>
      <x:c r="L26" s="4" t="n"/>
      <x:c r="M26" s="4" t="n"/>
      <x:c r="N26" s="4" t="n"/>
      <x:c r="O26" s="2">
        <x:f>IF(AND(N26&lt;&gt;"",L26&lt;&gt;""),N26-L26,"")</x:f>
      </x:c>
      <x:c r="P26" s="2">
        <x:f>IF(AND(N26&lt;&gt;"",M26&lt;&gt;""),IF(N26&lt;=M26,"Yes","No"),"")</x:f>
      </x:c>
      <x:c r="Q26" s="2" t="n"/>
      <x:c r="R26" s="2" t="n"/>
      <x:c r="S26" s="5" t="n"/>
      <x:c r="T26" s="3">
        <x:f>IF(AND(G26&lt;&gt;"",S26&lt;&gt;""),ROUNDUP(G26*S26,0),"")</x:f>
      </x:c>
      <x:c r="U26" s="2" t="n"/>
      <x:c r="V26" s="3" t="n"/>
      <x:c r="W26" s="3" t="n"/>
      <x:c r="X26" s="3">
        <x:f>IF(OR(V26&lt;&gt;"",W26&lt;&gt;""),V26+W26,"")</x:f>
      </x:c>
      <x:c r="Y26" s="6">
        <x:f>IF(AND(X26&lt;&gt;"",T26&lt;&gt;""),X26/T26,"")</x:f>
      </x:c>
      <x:c r="Z26" s="2" t="n"/>
      <x:c r="AA26" s="2" t="n"/>
      <x:c r="AB26" s="2" t="n"/>
    </x:row>
    <x:row r="27" ht="18" customHeight="1">
      <x:c r="A27" s="2" t="n"/>
      <x:c r="B27" s="2" t="n"/>
      <x:c r="C27" s="2" t="n"/>
      <x:c r="D27" s="2" t="n"/>
      <x:c r="E27" s="2" t="n"/>
      <x:c r="F27" s="2" t="n"/>
      <x:c r="G27" s="3" t="n"/>
      <x:c r="H27" s="2" t="n"/>
      <x:c r="I27" s="2" t="n"/>
      <x:c r="J27" s="2" t="n"/>
      <x:c r="K27" s="2" t="n"/>
      <x:c r="L27" s="4" t="n"/>
      <x:c r="M27" s="4" t="n"/>
      <x:c r="N27" s="4" t="n"/>
      <x:c r="O27" s="2">
        <x:f>IF(AND(N27&lt;&gt;"",L27&lt;&gt;""),N27-L27,"")</x:f>
      </x:c>
      <x:c r="P27" s="2">
        <x:f>IF(AND(N27&lt;&gt;"",M27&lt;&gt;""),IF(N27&lt;=M27,"Yes","No"),"")</x:f>
      </x:c>
      <x:c r="Q27" s="2" t="n"/>
      <x:c r="R27" s="2" t="n"/>
      <x:c r="S27" s="5" t="n"/>
      <x:c r="T27" s="3">
        <x:f>IF(AND(G27&lt;&gt;"",S27&lt;&gt;""),ROUNDUP(G27*S27,0),"")</x:f>
      </x:c>
      <x:c r="U27" s="2" t="n"/>
      <x:c r="V27" s="3" t="n"/>
      <x:c r="W27" s="3" t="n"/>
      <x:c r="X27" s="3">
        <x:f>IF(OR(V27&lt;&gt;"",W27&lt;&gt;""),V27+W27,"")</x:f>
      </x:c>
      <x:c r="Y27" s="6">
        <x:f>IF(AND(X27&lt;&gt;"",T27&lt;&gt;""),X27/T27,"")</x:f>
      </x:c>
      <x:c r="Z27" s="2" t="n"/>
      <x:c r="AA27" s="2" t="n"/>
      <x:c r="AB27" s="2" t="n"/>
    </x:row>
    <x:row r="28" ht="18" customHeight="1">
      <x:c r="A28" s="2" t="n"/>
      <x:c r="B28" s="2" t="n"/>
      <x:c r="C28" s="2" t="n"/>
      <x:c r="D28" s="2" t="n"/>
      <x:c r="E28" s="2" t="n"/>
      <x:c r="F28" s="2" t="n"/>
      <x:c r="G28" s="3" t="n"/>
      <x:c r="H28" s="2" t="n"/>
      <x:c r="I28" s="2" t="n"/>
      <x:c r="J28" s="2" t="n"/>
      <x:c r="K28" s="2" t="n"/>
      <x:c r="L28" s="4" t="n"/>
      <x:c r="M28" s="4" t="n"/>
      <x:c r="N28" s="4" t="n"/>
      <x:c r="O28" s="2">
        <x:f>IF(AND(N28&lt;&gt;"",L28&lt;&gt;""),N28-L28,"")</x:f>
      </x:c>
      <x:c r="P28" s="2">
        <x:f>IF(AND(N28&lt;&gt;"",M28&lt;&gt;""),IF(N28&lt;=M28,"Yes","No"),"")</x:f>
      </x:c>
      <x:c r="Q28" s="2" t="n"/>
      <x:c r="R28" s="2" t="n"/>
      <x:c r="S28" s="5" t="n"/>
      <x:c r="T28" s="3">
        <x:f>IF(AND(G28&lt;&gt;"",S28&lt;&gt;""),ROUNDUP(G28*S28,0),"")</x:f>
      </x:c>
      <x:c r="U28" s="2" t="n"/>
      <x:c r="V28" s="3" t="n"/>
      <x:c r="W28" s="3" t="n"/>
      <x:c r="X28" s="3">
        <x:f>IF(OR(V28&lt;&gt;"",W28&lt;&gt;""),V28+W28,"")</x:f>
      </x:c>
      <x:c r="Y28" s="6">
        <x:f>IF(AND(X28&lt;&gt;"",T28&lt;&gt;""),X28/T28,"")</x:f>
      </x:c>
      <x:c r="Z28" s="2" t="n"/>
      <x:c r="AA28" s="2" t="n"/>
      <x:c r="AB28" s="2" t="n"/>
    </x:row>
    <x:row r="29" ht="18" customHeight="1">
      <x:c r="A29" s="2" t="n"/>
      <x:c r="B29" s="2" t="n"/>
      <x:c r="C29" s="2" t="n"/>
      <x:c r="D29" s="2" t="n"/>
      <x:c r="E29" s="2" t="n"/>
      <x:c r="F29" s="2" t="n"/>
      <x:c r="G29" s="3" t="n"/>
      <x:c r="H29" s="2" t="n"/>
      <x:c r="I29" s="2" t="n"/>
      <x:c r="J29" s="2" t="n"/>
      <x:c r="K29" s="2" t="n"/>
      <x:c r="L29" s="4" t="n"/>
      <x:c r="M29" s="4" t="n"/>
      <x:c r="N29" s="4" t="n"/>
      <x:c r="O29" s="2">
        <x:f>IF(AND(N29&lt;&gt;"",L29&lt;&gt;""),N29-L29,"")</x:f>
      </x:c>
      <x:c r="P29" s="2">
        <x:f>IF(AND(N29&lt;&gt;"",M29&lt;&gt;""),IF(N29&lt;=M29,"Yes","No"),"")</x:f>
      </x:c>
      <x:c r="Q29" s="2" t="n"/>
      <x:c r="R29" s="2" t="n"/>
      <x:c r="S29" s="5" t="n"/>
      <x:c r="T29" s="3">
        <x:f>IF(AND(G29&lt;&gt;"",S29&lt;&gt;""),ROUNDUP(G29*S29,0),"")</x:f>
      </x:c>
      <x:c r="U29" s="2" t="n"/>
      <x:c r="V29" s="3" t="n"/>
      <x:c r="W29" s="3" t="n"/>
      <x:c r="X29" s="3">
        <x:f>IF(OR(V29&lt;&gt;"",W29&lt;&gt;""),V29+W29,"")</x:f>
      </x:c>
      <x:c r="Y29" s="6">
        <x:f>IF(AND(X29&lt;&gt;"",T29&lt;&gt;""),X29/T29,"")</x:f>
      </x:c>
      <x:c r="Z29" s="2" t="n"/>
      <x:c r="AA29" s="2" t="n"/>
      <x:c r="AB29" s="2" t="n"/>
    </x:row>
    <x:row r="30" ht="18" customHeight="1">
      <x:c r="A30" s="2" t="n"/>
      <x:c r="B30" s="2" t="n"/>
      <x:c r="C30" s="2" t="n"/>
      <x:c r="D30" s="2" t="n"/>
      <x:c r="E30" s="2" t="n"/>
      <x:c r="F30" s="2" t="n"/>
      <x:c r="G30" s="3" t="n"/>
      <x:c r="H30" s="2" t="n"/>
      <x:c r="I30" s="2" t="n"/>
      <x:c r="J30" s="2" t="n"/>
      <x:c r="K30" s="2" t="n"/>
      <x:c r="L30" s="4" t="n"/>
      <x:c r="M30" s="4" t="n"/>
      <x:c r="N30" s="4" t="n"/>
      <x:c r="O30" s="2">
        <x:f>IF(AND(N30&lt;&gt;"",L30&lt;&gt;""),N30-L30,"")</x:f>
      </x:c>
      <x:c r="P30" s="2">
        <x:f>IF(AND(N30&lt;&gt;"",M30&lt;&gt;""),IF(N30&lt;=M30,"Yes","No"),"")</x:f>
      </x:c>
      <x:c r="Q30" s="2" t="n"/>
      <x:c r="R30" s="2" t="n"/>
      <x:c r="S30" s="5" t="n"/>
      <x:c r="T30" s="3">
        <x:f>IF(AND(G30&lt;&gt;"",S30&lt;&gt;""),ROUNDUP(G30*S30,0),"")</x:f>
      </x:c>
      <x:c r="U30" s="2" t="n"/>
      <x:c r="V30" s="3" t="n"/>
      <x:c r="W30" s="3" t="n"/>
      <x:c r="X30" s="3">
        <x:f>IF(OR(V30&lt;&gt;"",W30&lt;&gt;""),V30+W30,"")</x:f>
      </x:c>
      <x:c r="Y30" s="6">
        <x:f>IF(AND(X30&lt;&gt;"",T30&lt;&gt;""),X30/T30,"")</x:f>
      </x:c>
      <x:c r="Z30" s="2" t="n"/>
      <x:c r="AA30" s="2" t="n"/>
      <x:c r="AB30" s="2" t="n"/>
    </x:row>
    <x:row r="31" ht="18" customHeight="1">
      <x:c r="A31" s="2" t="n"/>
      <x:c r="B31" s="2" t="n"/>
      <x:c r="C31" s="2" t="n"/>
      <x:c r="D31" s="2" t="n"/>
      <x:c r="E31" s="2" t="n"/>
      <x:c r="F31" s="2" t="n"/>
      <x:c r="G31" s="3" t="n"/>
      <x:c r="H31" s="2" t="n"/>
      <x:c r="I31" s="2" t="n"/>
      <x:c r="J31" s="2" t="n"/>
      <x:c r="K31" s="2" t="n"/>
      <x:c r="L31" s="4" t="n"/>
      <x:c r="M31" s="4" t="n"/>
      <x:c r="N31" s="4" t="n"/>
      <x:c r="O31" s="2">
        <x:f>IF(AND(N31&lt;&gt;"",L31&lt;&gt;""),N31-L31,"")</x:f>
      </x:c>
      <x:c r="P31" s="2">
        <x:f>IF(AND(N31&lt;&gt;"",M31&lt;&gt;""),IF(N31&lt;=M31,"Yes","No"),"")</x:f>
      </x:c>
      <x:c r="Q31" s="2" t="n"/>
      <x:c r="R31" s="2" t="n"/>
      <x:c r="S31" s="5" t="n"/>
      <x:c r="T31" s="3">
        <x:f>IF(AND(G31&lt;&gt;"",S31&lt;&gt;""),ROUNDUP(G31*S31,0),"")</x:f>
      </x:c>
      <x:c r="U31" s="2" t="n"/>
      <x:c r="V31" s="3" t="n"/>
      <x:c r="W31" s="3" t="n"/>
      <x:c r="X31" s="3">
        <x:f>IF(OR(V31&lt;&gt;"",W31&lt;&gt;""),V31+W31,"")</x:f>
      </x:c>
      <x:c r="Y31" s="6">
        <x:f>IF(AND(X31&lt;&gt;"",T31&lt;&gt;""),X31/T31,"")</x:f>
      </x:c>
      <x:c r="Z31" s="2" t="n"/>
      <x:c r="AA31" s="2" t="n"/>
      <x:c r="AB31" s="2" t="n"/>
    </x:row>
    <x:row r="32" ht="18" customHeight="1">
      <x:c r="A32" s="2" t="n"/>
      <x:c r="B32" s="2" t="n"/>
      <x:c r="C32" s="2" t="n"/>
      <x:c r="D32" s="2" t="n"/>
      <x:c r="E32" s="2" t="n"/>
      <x:c r="F32" s="2" t="n"/>
      <x:c r="G32" s="3" t="n"/>
      <x:c r="H32" s="2" t="n"/>
      <x:c r="I32" s="2" t="n"/>
      <x:c r="J32" s="2" t="n"/>
      <x:c r="K32" s="2" t="n"/>
      <x:c r="L32" s="4" t="n"/>
      <x:c r="M32" s="4" t="n"/>
      <x:c r="N32" s="4" t="n"/>
      <x:c r="O32" s="2">
        <x:f>IF(AND(N32&lt;&gt;"",L32&lt;&gt;""),N32-L32,"")</x:f>
      </x:c>
      <x:c r="P32" s="2">
        <x:f>IF(AND(N32&lt;&gt;"",M32&lt;&gt;""),IF(N32&lt;=M32,"Yes","No"),"")</x:f>
      </x:c>
      <x:c r="Q32" s="2" t="n"/>
      <x:c r="R32" s="2" t="n"/>
      <x:c r="S32" s="5" t="n"/>
      <x:c r="T32" s="3">
        <x:f>IF(AND(G32&lt;&gt;"",S32&lt;&gt;""),ROUNDUP(G32*S32,0),"")</x:f>
      </x:c>
      <x:c r="U32" s="2" t="n"/>
      <x:c r="V32" s="3" t="n"/>
      <x:c r="W32" s="3" t="n"/>
      <x:c r="X32" s="3">
        <x:f>IF(OR(V32&lt;&gt;"",W32&lt;&gt;""),V32+W32,"")</x:f>
      </x:c>
      <x:c r="Y32" s="6">
        <x:f>IF(AND(X32&lt;&gt;"",T32&lt;&gt;""),X32/T32,"")</x:f>
      </x:c>
      <x:c r="Z32" s="2" t="n"/>
      <x:c r="AA32" s="2" t="n"/>
      <x:c r="AB32" s="2" t="n"/>
    </x:row>
    <x:row r="33" ht="18" customHeight="1">
      <x:c r="A33" s="2" t="n"/>
      <x:c r="B33" s="2" t="n"/>
      <x:c r="C33" s="2" t="n"/>
      <x:c r="D33" s="2" t="n"/>
      <x:c r="E33" s="2" t="n"/>
      <x:c r="F33" s="2" t="n"/>
      <x:c r="G33" s="3" t="n"/>
      <x:c r="H33" s="2" t="n"/>
      <x:c r="I33" s="2" t="n"/>
      <x:c r="J33" s="2" t="n"/>
      <x:c r="K33" s="2" t="n"/>
      <x:c r="L33" s="4" t="n"/>
      <x:c r="M33" s="4" t="n"/>
      <x:c r="N33" s="4" t="n"/>
      <x:c r="O33" s="2">
        <x:f>IF(AND(N33&lt;&gt;"",L33&lt;&gt;""),N33-L33,"")</x:f>
      </x:c>
      <x:c r="P33" s="2">
        <x:f>IF(AND(N33&lt;&gt;"",M33&lt;&gt;""),IF(N33&lt;=M33,"Yes","No"),"")</x:f>
      </x:c>
      <x:c r="Q33" s="2" t="n"/>
      <x:c r="R33" s="2" t="n"/>
      <x:c r="S33" s="5" t="n"/>
      <x:c r="T33" s="3">
        <x:f>IF(AND(G33&lt;&gt;"",S33&lt;&gt;""),ROUNDUP(G33*S33,0),"")</x:f>
      </x:c>
      <x:c r="U33" s="2" t="n"/>
      <x:c r="V33" s="3" t="n"/>
      <x:c r="W33" s="3" t="n"/>
      <x:c r="X33" s="3">
        <x:f>IF(OR(V33&lt;&gt;"",W33&lt;&gt;""),V33+W33,"")</x:f>
      </x:c>
      <x:c r="Y33" s="6">
        <x:f>IF(AND(X33&lt;&gt;"",T33&lt;&gt;""),X33/T33,"")</x:f>
      </x:c>
      <x:c r="Z33" s="2" t="n"/>
      <x:c r="AA33" s="2" t="n"/>
      <x:c r="AB33" s="2" t="n"/>
    </x:row>
    <x:row r="34" ht="18" customHeight="1">
      <x:c r="A34" s="2" t="n"/>
      <x:c r="B34" s="2" t="n"/>
      <x:c r="C34" s="2" t="n"/>
      <x:c r="D34" s="2" t="n"/>
      <x:c r="E34" s="2" t="n"/>
      <x:c r="F34" s="2" t="n"/>
      <x:c r="G34" s="3" t="n"/>
      <x:c r="H34" s="2" t="n"/>
      <x:c r="I34" s="2" t="n"/>
      <x:c r="J34" s="2" t="n"/>
      <x:c r="K34" s="2" t="n"/>
      <x:c r="L34" s="4" t="n"/>
      <x:c r="M34" s="4" t="n"/>
      <x:c r="N34" s="4" t="n"/>
      <x:c r="O34" s="2">
        <x:f>IF(AND(N34&lt;&gt;"",L34&lt;&gt;""),N34-L34,"")</x:f>
      </x:c>
      <x:c r="P34" s="2">
        <x:f>IF(AND(N34&lt;&gt;"",M34&lt;&gt;""),IF(N34&lt;=M34,"Yes","No"),"")</x:f>
      </x:c>
      <x:c r="Q34" s="2" t="n"/>
      <x:c r="R34" s="2" t="n"/>
      <x:c r="S34" s="5" t="n"/>
      <x:c r="T34" s="3">
        <x:f>IF(AND(G34&lt;&gt;"",S34&lt;&gt;""),ROUNDUP(G34*S34,0),"")</x:f>
      </x:c>
      <x:c r="U34" s="2" t="n"/>
      <x:c r="V34" s="3" t="n"/>
      <x:c r="W34" s="3" t="n"/>
      <x:c r="X34" s="3">
        <x:f>IF(OR(V34&lt;&gt;"",W34&lt;&gt;""),V34+W34,"")</x:f>
      </x:c>
      <x:c r="Y34" s="6">
        <x:f>IF(AND(X34&lt;&gt;"",T34&lt;&gt;""),X34/T34,"")</x:f>
      </x:c>
      <x:c r="Z34" s="2" t="n"/>
      <x:c r="AA34" s="2" t="n"/>
      <x:c r="AB34" s="2" t="n"/>
    </x:row>
    <x:row r="35" ht="18" customHeight="1">
      <x:c r="A35" s="2" t="n"/>
      <x:c r="B35" s="2" t="n"/>
      <x:c r="C35" s="2" t="n"/>
      <x:c r="D35" s="2" t="n"/>
      <x:c r="E35" s="2" t="n"/>
      <x:c r="F35" s="2" t="n"/>
      <x:c r="G35" s="3" t="n"/>
      <x:c r="H35" s="2" t="n"/>
      <x:c r="I35" s="2" t="n"/>
      <x:c r="J35" s="2" t="n"/>
      <x:c r="K35" s="2" t="n"/>
      <x:c r="L35" s="4" t="n"/>
      <x:c r="M35" s="4" t="n"/>
      <x:c r="N35" s="4" t="n"/>
      <x:c r="O35" s="2">
        <x:f>IF(AND(N35&lt;&gt;"",L35&lt;&gt;""),N35-L35,"")</x:f>
      </x:c>
      <x:c r="P35" s="2">
        <x:f>IF(AND(N35&lt;&gt;"",M35&lt;&gt;""),IF(N35&lt;=M35,"Yes","No"),"")</x:f>
      </x:c>
      <x:c r="Q35" s="2" t="n"/>
      <x:c r="R35" s="2" t="n"/>
      <x:c r="S35" s="5" t="n"/>
      <x:c r="T35" s="3">
        <x:f>IF(AND(G35&lt;&gt;"",S35&lt;&gt;""),ROUNDUP(G35*S35,0),"")</x:f>
      </x:c>
      <x:c r="U35" s="2" t="n"/>
      <x:c r="V35" s="3" t="n"/>
      <x:c r="W35" s="3" t="n"/>
      <x:c r="X35" s="3">
        <x:f>IF(OR(V35&lt;&gt;"",W35&lt;&gt;""),V35+W35,"")</x:f>
      </x:c>
      <x:c r="Y35" s="6">
        <x:f>IF(AND(X35&lt;&gt;"",T35&lt;&gt;""),X35/T35,"")</x:f>
      </x:c>
      <x:c r="Z35" s="2" t="n"/>
      <x:c r="AA35" s="2" t="n"/>
      <x:c r="AB35" s="2" t="n"/>
    </x:row>
    <x:row r="36" ht="18" customHeight="1">
      <x:c r="A36" s="2" t="n"/>
      <x:c r="B36" s="2" t="n"/>
      <x:c r="C36" s="2" t="n"/>
      <x:c r="D36" s="2" t="n"/>
      <x:c r="E36" s="2" t="n"/>
      <x:c r="F36" s="2" t="n"/>
      <x:c r="G36" s="3" t="n"/>
      <x:c r="H36" s="2" t="n"/>
      <x:c r="I36" s="2" t="n"/>
      <x:c r="J36" s="2" t="n"/>
      <x:c r="K36" s="2" t="n"/>
      <x:c r="L36" s="4" t="n"/>
      <x:c r="M36" s="4" t="n"/>
      <x:c r="N36" s="4" t="n"/>
      <x:c r="O36" s="2">
        <x:f>IF(AND(N36&lt;&gt;"",L36&lt;&gt;""),N36-L36,"")</x:f>
      </x:c>
      <x:c r="P36" s="2">
        <x:f>IF(AND(N36&lt;&gt;"",M36&lt;&gt;""),IF(N36&lt;=M36,"Yes","No"),"")</x:f>
      </x:c>
      <x:c r="Q36" s="2" t="n"/>
      <x:c r="R36" s="2" t="n"/>
      <x:c r="S36" s="5" t="n"/>
      <x:c r="T36" s="3">
        <x:f>IF(AND(G36&lt;&gt;"",S36&lt;&gt;""),ROUNDUP(G36*S36,0),"")</x:f>
      </x:c>
      <x:c r="U36" s="2" t="n"/>
      <x:c r="V36" s="3" t="n"/>
      <x:c r="W36" s="3" t="n"/>
      <x:c r="X36" s="3">
        <x:f>IF(OR(V36&lt;&gt;"",W36&lt;&gt;""),V36+W36,"")</x:f>
      </x:c>
      <x:c r="Y36" s="6">
        <x:f>IF(AND(X36&lt;&gt;"",T36&lt;&gt;""),X36/T36,"")</x:f>
      </x:c>
      <x:c r="Z36" s="2" t="n"/>
      <x:c r="AA36" s="2" t="n"/>
      <x:c r="AB36" s="2" t="n"/>
    </x:row>
    <x:row r="37" ht="18" customHeight="1">
      <x:c r="A37" s="2" t="n"/>
      <x:c r="B37" s="2" t="n"/>
      <x:c r="C37" s="2" t="n"/>
      <x:c r="D37" s="2" t="n"/>
      <x:c r="E37" s="2" t="n"/>
      <x:c r="F37" s="2" t="n"/>
      <x:c r="G37" s="3" t="n"/>
      <x:c r="H37" s="2" t="n"/>
      <x:c r="I37" s="2" t="n"/>
      <x:c r="J37" s="2" t="n"/>
      <x:c r="K37" s="2" t="n"/>
      <x:c r="L37" s="4" t="n"/>
      <x:c r="M37" s="4" t="n"/>
      <x:c r="N37" s="4" t="n"/>
      <x:c r="O37" s="2">
        <x:f>IF(AND(N37&lt;&gt;"",L37&lt;&gt;""),N37-L37,"")</x:f>
      </x:c>
      <x:c r="P37" s="2">
        <x:f>IF(AND(N37&lt;&gt;"",M37&lt;&gt;""),IF(N37&lt;=M37,"Yes","No"),"")</x:f>
      </x:c>
      <x:c r="Q37" s="2" t="n"/>
      <x:c r="R37" s="2" t="n"/>
      <x:c r="S37" s="5" t="n"/>
      <x:c r="T37" s="3">
        <x:f>IF(AND(G37&lt;&gt;"",S37&lt;&gt;""),ROUNDUP(G37*S37,0),"")</x:f>
      </x:c>
      <x:c r="U37" s="2" t="n"/>
      <x:c r="V37" s="3" t="n"/>
      <x:c r="W37" s="3" t="n"/>
      <x:c r="X37" s="3">
        <x:f>IF(OR(V37&lt;&gt;"",W37&lt;&gt;""),V37+W37,"")</x:f>
      </x:c>
      <x:c r="Y37" s="6">
        <x:f>IF(AND(X37&lt;&gt;"",T37&lt;&gt;""),X37/T37,"")</x:f>
      </x:c>
      <x:c r="Z37" s="2" t="n"/>
      <x:c r="AA37" s="2" t="n"/>
      <x:c r="AB37" s="2" t="n"/>
    </x:row>
    <x:row r="38" ht="18" customHeight="1">
      <x:c r="A38" s="2" t="n"/>
      <x:c r="B38" s="2" t="n"/>
      <x:c r="C38" s="2" t="n"/>
      <x:c r="D38" s="2" t="n"/>
      <x:c r="E38" s="2" t="n"/>
      <x:c r="F38" s="2" t="n"/>
      <x:c r="G38" s="3" t="n"/>
      <x:c r="H38" s="2" t="n"/>
      <x:c r="I38" s="2" t="n"/>
      <x:c r="J38" s="2" t="n"/>
      <x:c r="K38" s="2" t="n"/>
      <x:c r="L38" s="4" t="n"/>
      <x:c r="M38" s="4" t="n"/>
      <x:c r="N38" s="4" t="n"/>
      <x:c r="O38" s="2">
        <x:f>IF(AND(N38&lt;&gt;"",L38&lt;&gt;""),N38-L38,"")</x:f>
      </x:c>
      <x:c r="P38" s="2">
        <x:f>IF(AND(N38&lt;&gt;"",M38&lt;&gt;""),IF(N38&lt;=M38,"Yes","No"),"")</x:f>
      </x:c>
      <x:c r="Q38" s="2" t="n"/>
      <x:c r="R38" s="2" t="n"/>
      <x:c r="S38" s="5" t="n"/>
      <x:c r="T38" s="3">
        <x:f>IF(AND(G38&lt;&gt;"",S38&lt;&gt;""),ROUNDUP(G38*S38,0),"")</x:f>
      </x:c>
      <x:c r="U38" s="2" t="n"/>
      <x:c r="V38" s="3" t="n"/>
      <x:c r="W38" s="3" t="n"/>
      <x:c r="X38" s="3">
        <x:f>IF(OR(V38&lt;&gt;"",W38&lt;&gt;""),V38+W38,"")</x:f>
      </x:c>
      <x:c r="Y38" s="6">
        <x:f>IF(AND(X38&lt;&gt;"",T38&lt;&gt;""),X38/T38,"")</x:f>
      </x:c>
      <x:c r="Z38" s="2" t="n"/>
      <x:c r="AA38" s="2" t="n"/>
      <x:c r="AB38" s="2" t="n"/>
    </x:row>
    <x:row r="39" ht="18" customHeight="1">
      <x:c r="A39" s="2" t="n"/>
      <x:c r="B39" s="2" t="n"/>
      <x:c r="C39" s="2" t="n"/>
      <x:c r="D39" s="2" t="n"/>
      <x:c r="E39" s="2" t="n"/>
      <x:c r="F39" s="2" t="n"/>
      <x:c r="G39" s="3" t="n"/>
      <x:c r="H39" s="2" t="n"/>
      <x:c r="I39" s="2" t="n"/>
      <x:c r="J39" s="2" t="n"/>
      <x:c r="K39" s="2" t="n"/>
      <x:c r="L39" s="4" t="n"/>
      <x:c r="M39" s="4" t="n"/>
      <x:c r="N39" s="4" t="n"/>
      <x:c r="O39" s="2">
        <x:f>IF(AND(N39&lt;&gt;"",L39&lt;&gt;""),N39-L39,"")</x:f>
      </x:c>
      <x:c r="P39" s="2">
        <x:f>IF(AND(N39&lt;&gt;"",M39&lt;&gt;""),IF(N39&lt;=M39,"Yes","No"),"")</x:f>
      </x:c>
      <x:c r="Q39" s="2" t="n"/>
      <x:c r="R39" s="2" t="n"/>
      <x:c r="S39" s="5" t="n"/>
      <x:c r="T39" s="3">
        <x:f>IF(AND(G39&lt;&gt;"",S39&lt;&gt;""),ROUNDUP(G39*S39,0),"")</x:f>
      </x:c>
      <x:c r="U39" s="2" t="n"/>
      <x:c r="V39" s="3" t="n"/>
      <x:c r="W39" s="3" t="n"/>
      <x:c r="X39" s="3">
        <x:f>IF(OR(V39&lt;&gt;"",W39&lt;&gt;""),V39+W39,"")</x:f>
      </x:c>
      <x:c r="Y39" s="6">
        <x:f>IF(AND(X39&lt;&gt;"",T39&lt;&gt;""),X39/T39,"")</x:f>
      </x:c>
      <x:c r="Z39" s="2" t="n"/>
      <x:c r="AA39" s="2" t="n"/>
      <x:c r="AB39" s="2" t="n"/>
    </x:row>
    <x:row r="40" ht="18" customHeight="1">
      <x:c r="A40" s="2" t="n"/>
      <x:c r="B40" s="2" t="n"/>
      <x:c r="C40" s="2" t="n"/>
      <x:c r="D40" s="2" t="n"/>
      <x:c r="E40" s="2" t="n"/>
      <x:c r="F40" s="2" t="n"/>
      <x:c r="G40" s="3" t="n"/>
      <x:c r="H40" s="2" t="n"/>
      <x:c r="I40" s="2" t="n"/>
      <x:c r="J40" s="2" t="n"/>
      <x:c r="K40" s="2" t="n"/>
      <x:c r="L40" s="4" t="n"/>
      <x:c r="M40" s="4" t="n"/>
      <x:c r="N40" s="4" t="n"/>
      <x:c r="O40" s="2">
        <x:f>IF(AND(N40&lt;&gt;"",L40&lt;&gt;""),N40-L40,"")</x:f>
      </x:c>
      <x:c r="P40" s="2">
        <x:f>IF(AND(N40&lt;&gt;"",M40&lt;&gt;""),IF(N40&lt;=M40,"Yes","No"),"")</x:f>
      </x:c>
      <x:c r="Q40" s="2" t="n"/>
      <x:c r="R40" s="2" t="n"/>
      <x:c r="S40" s="5" t="n"/>
      <x:c r="T40" s="3">
        <x:f>IF(AND(G40&lt;&gt;"",S40&lt;&gt;""),ROUNDUP(G40*S40,0),"")</x:f>
      </x:c>
      <x:c r="U40" s="2" t="n"/>
      <x:c r="V40" s="3" t="n"/>
      <x:c r="W40" s="3" t="n"/>
      <x:c r="X40" s="3">
        <x:f>IF(OR(V40&lt;&gt;"",W40&lt;&gt;""),V40+W40,"")</x:f>
      </x:c>
      <x:c r="Y40" s="6">
        <x:f>IF(AND(X40&lt;&gt;"",T40&lt;&gt;""),X40/T40,"")</x:f>
      </x:c>
      <x:c r="Z40" s="2" t="n"/>
      <x:c r="AA40" s="2" t="n"/>
      <x:c r="AB40" s="2" t="n"/>
    </x:row>
    <x:row r="41" ht="18" customHeight="1">
      <x:c r="A41" s="2" t="n"/>
      <x:c r="B41" s="2" t="n"/>
      <x:c r="C41" s="2" t="n"/>
      <x:c r="D41" s="2" t="n"/>
      <x:c r="E41" s="2" t="n"/>
      <x:c r="F41" s="2" t="n"/>
      <x:c r="G41" s="3" t="n"/>
      <x:c r="H41" s="2" t="n"/>
      <x:c r="I41" s="2" t="n"/>
      <x:c r="J41" s="2" t="n"/>
      <x:c r="K41" s="2" t="n"/>
      <x:c r="L41" s="4" t="n"/>
      <x:c r="M41" s="4" t="n"/>
      <x:c r="N41" s="4" t="n"/>
      <x:c r="O41" s="2">
        <x:f>IF(AND(N41&lt;&gt;"",L41&lt;&gt;""),N41-L41,"")</x:f>
      </x:c>
      <x:c r="P41" s="2">
        <x:f>IF(AND(N41&lt;&gt;"",M41&lt;&gt;""),IF(N41&lt;=M41,"Yes","No"),"")</x:f>
      </x:c>
      <x:c r="Q41" s="2" t="n"/>
      <x:c r="R41" s="2" t="n"/>
      <x:c r="S41" s="5" t="n"/>
      <x:c r="T41" s="3">
        <x:f>IF(AND(G41&lt;&gt;"",S41&lt;&gt;""),ROUNDUP(G41*S41,0),"")</x:f>
      </x:c>
      <x:c r="U41" s="2" t="n"/>
      <x:c r="V41" s="3" t="n"/>
      <x:c r="W41" s="3" t="n"/>
      <x:c r="X41" s="3">
        <x:f>IF(OR(V41&lt;&gt;"",W41&lt;&gt;""),V41+W41,"")</x:f>
      </x:c>
      <x:c r="Y41" s="6">
        <x:f>IF(AND(X41&lt;&gt;"",T41&lt;&gt;""),X41/T41,"")</x:f>
      </x:c>
      <x:c r="Z41" s="2" t="n"/>
      <x:c r="AA41" s="2" t="n"/>
      <x:c r="AB41" s="2" t="n"/>
    </x:row>
    <x:row r="42" ht="18" customHeight="1">
      <x:c r="A42" s="2" t="n"/>
      <x:c r="B42" s="2" t="n"/>
      <x:c r="C42" s="2" t="n"/>
      <x:c r="D42" s="2" t="n"/>
      <x:c r="E42" s="2" t="n"/>
      <x:c r="F42" s="2" t="n"/>
      <x:c r="G42" s="3" t="n"/>
      <x:c r="H42" s="2" t="n"/>
      <x:c r="I42" s="2" t="n"/>
      <x:c r="J42" s="2" t="n"/>
      <x:c r="K42" s="2" t="n"/>
      <x:c r="L42" s="4" t="n"/>
      <x:c r="M42" s="4" t="n"/>
      <x:c r="N42" s="4" t="n"/>
      <x:c r="O42" s="2">
        <x:f>IF(AND(N42&lt;&gt;"",L42&lt;&gt;""),N42-L42,"")</x:f>
      </x:c>
      <x:c r="P42" s="2">
        <x:f>IF(AND(N42&lt;&gt;"",M42&lt;&gt;""),IF(N42&lt;=M42,"Yes","No"),"")</x:f>
      </x:c>
      <x:c r="Q42" s="2" t="n"/>
      <x:c r="R42" s="2" t="n"/>
      <x:c r="S42" s="5" t="n"/>
      <x:c r="T42" s="3">
        <x:f>IF(AND(G42&lt;&gt;"",S42&lt;&gt;""),ROUNDUP(G42*S42,0),"")</x:f>
      </x:c>
      <x:c r="U42" s="2" t="n"/>
      <x:c r="V42" s="3" t="n"/>
      <x:c r="W42" s="3" t="n"/>
      <x:c r="X42" s="3">
        <x:f>IF(OR(V42&lt;&gt;"",W42&lt;&gt;""),V42+W42,"")</x:f>
      </x:c>
      <x:c r="Y42" s="6">
        <x:f>IF(AND(X42&lt;&gt;"",T42&lt;&gt;""),X42/T42,"")</x:f>
      </x:c>
      <x:c r="Z42" s="2" t="n"/>
      <x:c r="AA42" s="2" t="n"/>
      <x:c r="AB42" s="2" t="n"/>
    </x:row>
    <x:row r="43" ht="18" customHeight="1">
      <x:c r="A43" s="2" t="n"/>
      <x:c r="B43" s="2" t="n"/>
      <x:c r="C43" s="2" t="n"/>
      <x:c r="D43" s="2" t="n"/>
      <x:c r="E43" s="2" t="n"/>
      <x:c r="F43" s="2" t="n"/>
      <x:c r="G43" s="3" t="n"/>
      <x:c r="H43" s="2" t="n"/>
      <x:c r="I43" s="2" t="n"/>
      <x:c r="J43" s="2" t="n"/>
      <x:c r="K43" s="2" t="n"/>
      <x:c r="L43" s="4" t="n"/>
      <x:c r="M43" s="4" t="n"/>
      <x:c r="N43" s="4" t="n"/>
      <x:c r="O43" s="2">
        <x:f>IF(AND(N43&lt;&gt;"",L43&lt;&gt;""),N43-L43,"")</x:f>
      </x:c>
      <x:c r="P43" s="2">
        <x:f>IF(AND(N43&lt;&gt;"",M43&lt;&gt;""),IF(N43&lt;=M43,"Yes","No"),"")</x:f>
      </x:c>
      <x:c r="Q43" s="2" t="n"/>
      <x:c r="R43" s="2" t="n"/>
      <x:c r="S43" s="5" t="n"/>
      <x:c r="T43" s="3">
        <x:f>IF(AND(G43&lt;&gt;"",S43&lt;&gt;""),ROUNDUP(G43*S43,0),"")</x:f>
      </x:c>
      <x:c r="U43" s="2" t="n"/>
      <x:c r="V43" s="3" t="n"/>
      <x:c r="W43" s="3" t="n"/>
      <x:c r="X43" s="3">
        <x:f>IF(OR(V43&lt;&gt;"",W43&lt;&gt;""),V43+W43,"")</x:f>
      </x:c>
      <x:c r="Y43" s="6">
        <x:f>IF(AND(X43&lt;&gt;"",T43&lt;&gt;""),X43/T43,"")</x:f>
      </x:c>
      <x:c r="Z43" s="2" t="n"/>
      <x:c r="AA43" s="2" t="n"/>
      <x:c r="AB43" s="2" t="n"/>
    </x:row>
    <x:row r="44" ht="18" customHeight="1">
      <x:c r="A44" s="2" t="n"/>
      <x:c r="B44" s="2" t="n"/>
      <x:c r="C44" s="2" t="n"/>
      <x:c r="D44" s="2" t="n"/>
      <x:c r="E44" s="2" t="n"/>
      <x:c r="F44" s="2" t="n"/>
      <x:c r="G44" s="3" t="n"/>
      <x:c r="H44" s="2" t="n"/>
      <x:c r="I44" s="2" t="n"/>
      <x:c r="J44" s="2" t="n"/>
      <x:c r="K44" s="2" t="n"/>
      <x:c r="L44" s="4" t="n"/>
      <x:c r="M44" s="4" t="n"/>
      <x:c r="N44" s="4" t="n"/>
      <x:c r="O44" s="2">
        <x:f>IF(AND(N44&lt;&gt;"",L44&lt;&gt;""),N44-L44,"")</x:f>
      </x:c>
      <x:c r="P44" s="2">
        <x:f>IF(AND(N44&lt;&gt;"",M44&lt;&gt;""),IF(N44&lt;=M44,"Yes","No"),"")</x:f>
      </x:c>
      <x:c r="Q44" s="2" t="n"/>
      <x:c r="R44" s="2" t="n"/>
      <x:c r="S44" s="5" t="n"/>
      <x:c r="T44" s="3">
        <x:f>IF(AND(G44&lt;&gt;"",S44&lt;&gt;""),ROUNDUP(G44*S44,0),"")</x:f>
      </x:c>
      <x:c r="U44" s="2" t="n"/>
      <x:c r="V44" s="3" t="n"/>
      <x:c r="W44" s="3" t="n"/>
      <x:c r="X44" s="3">
        <x:f>IF(OR(V44&lt;&gt;"",W44&lt;&gt;""),V44+W44,"")</x:f>
      </x:c>
      <x:c r="Y44" s="6">
        <x:f>IF(AND(X44&lt;&gt;"",T44&lt;&gt;""),X44/T44,"")</x:f>
      </x:c>
      <x:c r="Z44" s="2" t="n"/>
      <x:c r="AA44" s="2" t="n"/>
      <x:c r="AB44" s="2" t="n"/>
    </x:row>
    <x:row r="45" ht="18" customHeight="1">
      <x:c r="A45" s="2" t="n"/>
      <x:c r="B45" s="2" t="n"/>
      <x:c r="C45" s="2" t="n"/>
      <x:c r="D45" s="2" t="n"/>
      <x:c r="E45" s="2" t="n"/>
      <x:c r="F45" s="2" t="n"/>
      <x:c r="G45" s="3" t="n"/>
      <x:c r="H45" s="2" t="n"/>
      <x:c r="I45" s="2" t="n"/>
      <x:c r="J45" s="2" t="n"/>
      <x:c r="K45" s="2" t="n"/>
      <x:c r="L45" s="4" t="n"/>
      <x:c r="M45" s="4" t="n"/>
      <x:c r="N45" s="4" t="n"/>
      <x:c r="O45" s="2">
        <x:f>IF(AND(N45&lt;&gt;"",L45&lt;&gt;""),N45-L45,"")</x:f>
      </x:c>
      <x:c r="P45" s="2">
        <x:f>IF(AND(N45&lt;&gt;"",M45&lt;&gt;""),IF(N45&lt;=M45,"Yes","No"),"")</x:f>
      </x:c>
      <x:c r="Q45" s="2" t="n"/>
      <x:c r="R45" s="2" t="n"/>
      <x:c r="S45" s="5" t="n"/>
      <x:c r="T45" s="3">
        <x:f>IF(AND(G45&lt;&gt;"",S45&lt;&gt;""),ROUNDUP(G45*S45,0),"")</x:f>
      </x:c>
      <x:c r="U45" s="2" t="n"/>
      <x:c r="V45" s="3" t="n"/>
      <x:c r="W45" s="3" t="n"/>
      <x:c r="X45" s="3">
        <x:f>IF(OR(V45&lt;&gt;"",W45&lt;&gt;""),V45+W45,"")</x:f>
      </x:c>
      <x:c r="Y45" s="6">
        <x:f>IF(AND(X45&lt;&gt;"",T45&lt;&gt;""),X45/T45,"")</x:f>
      </x:c>
      <x:c r="Z45" s="2" t="n"/>
      <x:c r="AA45" s="2" t="n"/>
      <x:c r="AB45" s="2" t="n"/>
    </x:row>
    <x:row r="46" ht="18" customHeight="1">
      <x:c r="A46" s="2" t="n"/>
      <x:c r="B46" s="2" t="n"/>
      <x:c r="C46" s="2" t="n"/>
      <x:c r="D46" s="2" t="n"/>
      <x:c r="E46" s="2" t="n"/>
      <x:c r="F46" s="2" t="n"/>
      <x:c r="G46" s="3" t="n"/>
      <x:c r="H46" s="2" t="n"/>
      <x:c r="I46" s="2" t="n"/>
      <x:c r="J46" s="2" t="n"/>
      <x:c r="K46" s="2" t="n"/>
      <x:c r="L46" s="4" t="n"/>
      <x:c r="M46" s="4" t="n"/>
      <x:c r="N46" s="4" t="n"/>
      <x:c r="O46" s="2">
        <x:f>IF(AND(N46&lt;&gt;"",L46&lt;&gt;""),N46-L46,"")</x:f>
      </x:c>
      <x:c r="P46" s="2">
        <x:f>IF(AND(N46&lt;&gt;"",M46&lt;&gt;""),IF(N46&lt;=M46,"Yes","No"),"")</x:f>
      </x:c>
      <x:c r="Q46" s="2" t="n"/>
      <x:c r="R46" s="2" t="n"/>
      <x:c r="S46" s="5" t="n"/>
      <x:c r="T46" s="3">
        <x:f>IF(AND(G46&lt;&gt;"",S46&lt;&gt;""),ROUNDUP(G46*S46,0),"")</x:f>
      </x:c>
      <x:c r="U46" s="2" t="n"/>
      <x:c r="V46" s="3" t="n"/>
      <x:c r="W46" s="3" t="n"/>
      <x:c r="X46" s="3">
        <x:f>IF(OR(V46&lt;&gt;"",W46&lt;&gt;""),V46+W46,"")</x:f>
      </x:c>
      <x:c r="Y46" s="6">
        <x:f>IF(AND(X46&lt;&gt;"",T46&lt;&gt;""),X46/T46,"")</x:f>
      </x:c>
      <x:c r="Z46" s="2" t="n"/>
      <x:c r="AA46" s="2" t="n"/>
      <x:c r="AB46" s="2" t="n"/>
    </x:row>
    <x:row r="47" ht="18" customHeight="1">
      <x:c r="A47" s="2" t="n"/>
      <x:c r="B47" s="2" t="n"/>
      <x:c r="C47" s="2" t="n"/>
      <x:c r="D47" s="2" t="n"/>
      <x:c r="E47" s="2" t="n"/>
      <x:c r="F47" s="2" t="n"/>
      <x:c r="G47" s="3" t="n"/>
      <x:c r="H47" s="2" t="n"/>
      <x:c r="I47" s="2" t="n"/>
      <x:c r="J47" s="2" t="n"/>
      <x:c r="K47" s="2" t="n"/>
      <x:c r="L47" s="4" t="n"/>
      <x:c r="M47" s="4" t="n"/>
      <x:c r="N47" s="4" t="n"/>
      <x:c r="O47" s="2">
        <x:f>IF(AND(N47&lt;&gt;"",L47&lt;&gt;""),N47-L47,"")</x:f>
      </x:c>
      <x:c r="P47" s="2">
        <x:f>IF(AND(N47&lt;&gt;"",M47&lt;&gt;""),IF(N47&lt;=M47,"Yes","No"),"")</x:f>
      </x:c>
      <x:c r="Q47" s="2" t="n"/>
      <x:c r="R47" s="2" t="n"/>
      <x:c r="S47" s="5" t="n"/>
      <x:c r="T47" s="3">
        <x:f>IF(AND(G47&lt;&gt;"",S47&lt;&gt;""),ROUNDUP(G47*S47,0),"")</x:f>
      </x:c>
      <x:c r="U47" s="2" t="n"/>
      <x:c r="V47" s="3" t="n"/>
      <x:c r="W47" s="3" t="n"/>
      <x:c r="X47" s="3">
        <x:f>IF(OR(V47&lt;&gt;"",W47&lt;&gt;""),V47+W47,"")</x:f>
      </x:c>
      <x:c r="Y47" s="6">
        <x:f>IF(AND(X47&lt;&gt;"",T47&lt;&gt;""),X47/T47,"")</x:f>
      </x:c>
      <x:c r="Z47" s="2" t="n"/>
      <x:c r="AA47" s="2" t="n"/>
      <x:c r="AB47" s="2" t="n"/>
    </x:row>
    <x:row r="48" ht="18" customHeight="1">
      <x:c r="A48" s="2" t="n"/>
      <x:c r="B48" s="2" t="n"/>
      <x:c r="C48" s="2" t="n"/>
      <x:c r="D48" s="2" t="n"/>
      <x:c r="E48" s="2" t="n"/>
      <x:c r="F48" s="2" t="n"/>
      <x:c r="G48" s="3" t="n"/>
      <x:c r="H48" s="2" t="n"/>
      <x:c r="I48" s="2" t="n"/>
      <x:c r="J48" s="2" t="n"/>
      <x:c r="K48" s="2" t="n"/>
      <x:c r="L48" s="4" t="n"/>
      <x:c r="M48" s="4" t="n"/>
      <x:c r="N48" s="4" t="n"/>
      <x:c r="O48" s="2">
        <x:f>IF(AND(N48&lt;&gt;"",L48&lt;&gt;""),N48-L48,"")</x:f>
      </x:c>
      <x:c r="P48" s="2">
        <x:f>IF(AND(N48&lt;&gt;"",M48&lt;&gt;""),IF(N48&lt;=M48,"Yes","No"),"")</x:f>
      </x:c>
      <x:c r="Q48" s="2" t="n"/>
      <x:c r="R48" s="2" t="n"/>
      <x:c r="S48" s="5" t="n"/>
      <x:c r="T48" s="3">
        <x:f>IF(AND(G48&lt;&gt;"",S48&lt;&gt;""),ROUNDUP(G48*S48,0),"")</x:f>
      </x:c>
      <x:c r="U48" s="2" t="n"/>
      <x:c r="V48" s="3" t="n"/>
      <x:c r="W48" s="3" t="n"/>
      <x:c r="X48" s="3">
        <x:f>IF(OR(V48&lt;&gt;"",W48&lt;&gt;""),V48+W48,"")</x:f>
      </x:c>
      <x:c r="Y48" s="6">
        <x:f>IF(AND(X48&lt;&gt;"",T48&lt;&gt;""),X48/T48,"")</x:f>
      </x:c>
      <x:c r="Z48" s="2" t="n"/>
      <x:c r="AA48" s="2" t="n"/>
      <x:c r="AB48" s="2" t="n"/>
    </x:row>
    <x:row r="49" ht="18" customHeight="1">
      <x:c r="A49" s="2" t="n"/>
      <x:c r="B49" s="2" t="n"/>
      <x:c r="C49" s="2" t="n"/>
      <x:c r="D49" s="2" t="n"/>
      <x:c r="E49" s="2" t="n"/>
      <x:c r="F49" s="2" t="n"/>
      <x:c r="G49" s="3" t="n"/>
      <x:c r="H49" s="2" t="n"/>
      <x:c r="I49" s="2" t="n"/>
      <x:c r="J49" s="2" t="n"/>
      <x:c r="K49" s="2" t="n"/>
      <x:c r="L49" s="4" t="n"/>
      <x:c r="M49" s="4" t="n"/>
      <x:c r="N49" s="4" t="n"/>
      <x:c r="O49" s="2">
        <x:f>IF(AND(N49&lt;&gt;"",L49&lt;&gt;""),N49-L49,"")</x:f>
      </x:c>
      <x:c r="P49" s="2">
        <x:f>IF(AND(N49&lt;&gt;"",M49&lt;&gt;""),IF(N49&lt;=M49,"Yes","No"),"")</x:f>
      </x:c>
      <x:c r="Q49" s="2" t="n"/>
      <x:c r="R49" s="2" t="n"/>
      <x:c r="S49" s="5" t="n"/>
      <x:c r="T49" s="3">
        <x:f>IF(AND(G49&lt;&gt;"",S49&lt;&gt;""),ROUNDUP(G49*S49,0),"")</x:f>
      </x:c>
      <x:c r="U49" s="2" t="n"/>
      <x:c r="V49" s="3" t="n"/>
      <x:c r="W49" s="3" t="n"/>
      <x:c r="X49" s="3">
        <x:f>IF(OR(V49&lt;&gt;"",W49&lt;&gt;""),V49+W49,"")</x:f>
      </x:c>
      <x:c r="Y49" s="6">
        <x:f>IF(AND(X49&lt;&gt;"",T49&lt;&gt;""),X49/T49,"")</x:f>
      </x:c>
      <x:c r="Z49" s="2" t="n"/>
      <x:c r="AA49" s="2" t="n"/>
      <x:c r="AB49" s="2" t="n"/>
    </x:row>
    <x:row r="50" ht="18" customHeight="1">
      <x:c r="A50" s="2" t="n"/>
      <x:c r="B50" s="2" t="n"/>
      <x:c r="C50" s="2" t="n"/>
      <x:c r="D50" s="2" t="n"/>
      <x:c r="E50" s="2" t="n"/>
      <x:c r="F50" s="2" t="n"/>
      <x:c r="G50" s="3" t="n"/>
      <x:c r="H50" s="2" t="n"/>
      <x:c r="I50" s="2" t="n"/>
      <x:c r="J50" s="2" t="n"/>
      <x:c r="K50" s="2" t="n"/>
      <x:c r="L50" s="4" t="n"/>
      <x:c r="M50" s="4" t="n"/>
      <x:c r="N50" s="4" t="n"/>
      <x:c r="O50" s="2">
        <x:f>IF(AND(N50&lt;&gt;"",L50&lt;&gt;""),N50-L50,"")</x:f>
      </x:c>
      <x:c r="P50" s="2">
        <x:f>IF(AND(N50&lt;&gt;"",M50&lt;&gt;""),IF(N50&lt;=M50,"Yes","No"),"")</x:f>
      </x:c>
      <x:c r="Q50" s="2" t="n"/>
      <x:c r="R50" s="2" t="n"/>
      <x:c r="S50" s="5" t="n"/>
      <x:c r="T50" s="3">
        <x:f>IF(AND(G50&lt;&gt;"",S50&lt;&gt;""),ROUNDUP(G50*S50,0),"")</x:f>
      </x:c>
      <x:c r="U50" s="2" t="n"/>
      <x:c r="V50" s="3" t="n"/>
      <x:c r="W50" s="3" t="n"/>
      <x:c r="X50" s="3">
        <x:f>IF(OR(V50&lt;&gt;"",W50&lt;&gt;""),V50+W50,"")</x:f>
      </x:c>
      <x:c r="Y50" s="6">
        <x:f>IF(AND(X50&lt;&gt;"",T50&lt;&gt;""),X50/T50,"")</x:f>
      </x:c>
      <x:c r="Z50" s="2" t="n"/>
      <x:c r="AA50" s="2" t="n"/>
      <x:c r="AB50" s="2" t="n"/>
    </x:row>
    <x:row r="51">
      <x:c r="L51" s="7" t="n"/>
      <x:c r="M51" s="7" t="n"/>
      <x:c r="N51" s="7" t="n"/>
      <x:c r="O51">
        <x:f>IF(AND(N51&lt;&gt;"",L51&lt;&gt;""),N51-L51,"")</x:f>
      </x:c>
      <x:c r="P51">
        <x:f>IF(AND(N51&lt;&gt;"",M51&lt;&gt;""),IF(N51&lt;=M51,"Yes","No"),"")</x:f>
      </x:c>
      <x:c r="S51" s="8" t="n"/>
      <x:c r="T51">
        <x:f>IF(AND(G51&lt;&gt;"",S51&lt;&gt;""),ROUNDUP(G51*S51,0),"")</x:f>
      </x:c>
      <x:c r="X51">
        <x:f>IF(OR(V51&lt;&gt;"",W51&lt;&gt;""),V51+W51,"")</x:f>
      </x:c>
      <x:c r="Y51" s="9">
        <x:f>IF(AND(X51&lt;&gt;"",T51&lt;&gt;""),X51/T51,"")</x:f>
      </x:c>
    </x:row>
    <x:row r="52">
      <x:c r="L52" s="7" t="n"/>
      <x:c r="M52" s="7" t="n"/>
      <x:c r="N52" s="7" t="n"/>
      <x:c r="O52">
        <x:f>IF(AND(N52&lt;&gt;"",L52&lt;&gt;""),N52-L52,"")</x:f>
      </x:c>
      <x:c r="P52">
        <x:f>IF(AND(N52&lt;&gt;"",M52&lt;&gt;""),IF(N52&lt;=M52,"Yes","No"),"")</x:f>
      </x:c>
      <x:c r="S52" s="8" t="n"/>
      <x:c r="T52">
        <x:f>IF(AND(G52&lt;&gt;"",S52&lt;&gt;""),ROUNDUP(G52*S52,0),"")</x:f>
      </x:c>
      <x:c r="X52">
        <x:f>IF(OR(V52&lt;&gt;"",W52&lt;&gt;""),V52+W52,"")</x:f>
      </x:c>
      <x:c r="Y52" s="9">
        <x:f>IF(AND(X52&lt;&gt;"",T52&lt;&gt;""),X52/T52,"")</x:f>
      </x:c>
    </x:row>
    <x:row r="53">
      <x:c r="L53" s="7" t="n"/>
      <x:c r="M53" s="7" t="n"/>
      <x:c r="N53" s="7" t="n"/>
      <x:c r="O53">
        <x:f>IF(AND(N53&lt;&gt;"",L53&lt;&gt;""),N53-L53,"")</x:f>
      </x:c>
      <x:c r="P53">
        <x:f>IF(AND(N53&lt;&gt;"",M53&lt;&gt;""),IF(N53&lt;=M53,"Yes","No"),"")</x:f>
      </x:c>
      <x:c r="S53" s="8" t="n"/>
      <x:c r="T53">
        <x:f>IF(AND(G53&lt;&gt;"",S53&lt;&gt;""),ROUNDUP(G53*S53,0),"")</x:f>
      </x:c>
      <x:c r="X53">
        <x:f>IF(OR(V53&lt;&gt;"",W53&lt;&gt;""),V53+W53,"")</x:f>
      </x:c>
      <x:c r="Y53" s="9">
        <x:f>IF(AND(X53&lt;&gt;"",T53&lt;&gt;""),X53/T53,"")</x:f>
      </x:c>
    </x:row>
    <x:row r="54">
      <x:c r="L54" s="7" t="n"/>
      <x:c r="M54" s="7" t="n"/>
      <x:c r="N54" s="7" t="n"/>
      <x:c r="O54">
        <x:f>IF(AND(N54&lt;&gt;"",L54&lt;&gt;""),N54-L54,"")</x:f>
      </x:c>
      <x:c r="P54">
        <x:f>IF(AND(N54&lt;&gt;"",M54&lt;&gt;""),IF(N54&lt;=M54,"Yes","No"),"")</x:f>
      </x:c>
      <x:c r="S54" s="8" t="n"/>
      <x:c r="T54">
        <x:f>IF(AND(G54&lt;&gt;"",S54&lt;&gt;""),ROUNDUP(G54*S54,0),"")</x:f>
      </x:c>
      <x:c r="X54">
        <x:f>IF(OR(V54&lt;&gt;"",W54&lt;&gt;""),V54+W54,"")</x:f>
      </x:c>
      <x:c r="Y54" s="9">
        <x:f>IF(AND(X54&lt;&gt;"",T54&lt;&gt;""),X54/T54,"")</x:f>
      </x:c>
    </x:row>
    <x:row r="55">
      <x:c r="L55" s="7" t="n"/>
      <x:c r="M55" s="7" t="n"/>
      <x:c r="N55" s="7" t="n"/>
      <x:c r="O55">
        <x:f>IF(AND(N55&lt;&gt;"",L55&lt;&gt;""),N55-L55,"")</x:f>
      </x:c>
      <x:c r="P55">
        <x:f>IF(AND(N55&lt;&gt;"",M55&lt;&gt;""),IF(N55&lt;=M55,"Yes","No"),"")</x:f>
      </x:c>
      <x:c r="S55" s="8" t="n"/>
      <x:c r="T55">
        <x:f>IF(AND(G55&lt;&gt;"",S55&lt;&gt;""),ROUNDUP(G55*S55,0),"")</x:f>
      </x:c>
      <x:c r="X55">
        <x:f>IF(OR(V55&lt;&gt;"",W55&lt;&gt;""),V55+W55,"")</x:f>
      </x:c>
      <x:c r="Y55" s="9">
        <x:f>IF(AND(X55&lt;&gt;"",T55&lt;&gt;""),X55/T55,"")</x:f>
      </x:c>
    </x:row>
    <x:row r="56">
      <x:c r="L56" s="7" t="n"/>
      <x:c r="M56" s="7" t="n"/>
      <x:c r="N56" s="7" t="n"/>
      <x:c r="O56">
        <x:f>IF(AND(N56&lt;&gt;"",L56&lt;&gt;""),N56-L56,"")</x:f>
      </x:c>
      <x:c r="P56">
        <x:f>IF(AND(N56&lt;&gt;"",M56&lt;&gt;""),IF(N56&lt;=M56,"Yes","No"),"")</x:f>
      </x:c>
      <x:c r="S56" s="8" t="n"/>
      <x:c r="T56">
        <x:f>IF(AND(G56&lt;&gt;"",S56&lt;&gt;""),ROUNDUP(G56*S56,0),"")</x:f>
      </x:c>
      <x:c r="X56">
        <x:f>IF(OR(V56&lt;&gt;"",W56&lt;&gt;""),V56+W56,"")</x:f>
      </x:c>
      <x:c r="Y56" s="9">
        <x:f>IF(AND(X56&lt;&gt;"",T56&lt;&gt;""),X56/T56,"")</x:f>
      </x:c>
    </x:row>
    <x:row r="57">
      <x:c r="L57" s="7" t="n"/>
      <x:c r="M57" s="7" t="n"/>
      <x:c r="N57" s="7" t="n"/>
      <x:c r="O57">
        <x:f>IF(AND(N57&lt;&gt;"",L57&lt;&gt;""),N57-L57,"")</x:f>
      </x:c>
      <x:c r="P57">
        <x:f>IF(AND(N57&lt;&gt;"",M57&lt;&gt;""),IF(N57&lt;=M57,"Yes","No"),"")</x:f>
      </x:c>
      <x:c r="S57" s="8" t="n"/>
      <x:c r="T57">
        <x:f>IF(AND(G57&lt;&gt;"",S57&lt;&gt;""),ROUNDUP(G57*S57,0),"")</x:f>
      </x:c>
      <x:c r="X57">
        <x:f>IF(OR(V57&lt;&gt;"",W57&lt;&gt;""),V57+W57,"")</x:f>
      </x:c>
      <x:c r="Y57" s="9">
        <x:f>IF(AND(X57&lt;&gt;"",T57&lt;&gt;""),X57/T57,"")</x:f>
      </x:c>
    </x:row>
    <x:row r="58">
      <x:c r="L58" s="7" t="n"/>
      <x:c r="M58" s="7" t="n"/>
      <x:c r="N58" s="7" t="n"/>
      <x:c r="O58">
        <x:f>IF(AND(N58&lt;&gt;"",L58&lt;&gt;""),N58-L58,"")</x:f>
      </x:c>
      <x:c r="P58">
        <x:f>IF(AND(N58&lt;&gt;"",M58&lt;&gt;""),IF(N58&lt;=M58,"Yes","No"),"")</x:f>
      </x:c>
      <x:c r="S58" s="8" t="n"/>
      <x:c r="T58">
        <x:f>IF(AND(G58&lt;&gt;"",S58&lt;&gt;""),ROUNDUP(G58*S58,0),"")</x:f>
      </x:c>
      <x:c r="X58">
        <x:f>IF(OR(V58&lt;&gt;"",W58&lt;&gt;""),V58+W58,"")</x:f>
      </x:c>
      <x:c r="Y58" s="9">
        <x:f>IF(AND(X58&lt;&gt;"",T58&lt;&gt;""),X58/T58,"")</x:f>
      </x:c>
    </x:row>
    <x:row r="59">
      <x:c r="L59" s="7" t="n"/>
      <x:c r="M59" s="7" t="n"/>
      <x:c r="N59" s="7" t="n"/>
      <x:c r="O59">
        <x:f>IF(AND(N59&lt;&gt;"",L59&lt;&gt;""),N59-L59,"")</x:f>
      </x:c>
      <x:c r="P59">
        <x:f>IF(AND(N59&lt;&gt;"",M59&lt;&gt;""),IF(N59&lt;=M59,"Yes","No"),"")</x:f>
      </x:c>
      <x:c r="S59" s="8" t="n"/>
      <x:c r="T59">
        <x:f>IF(AND(G59&lt;&gt;"",S59&lt;&gt;""),ROUNDUP(G59*S59,0),"")</x:f>
      </x:c>
      <x:c r="X59">
        <x:f>IF(OR(V59&lt;&gt;"",W59&lt;&gt;""),V59+W59,"")</x:f>
      </x:c>
      <x:c r="Y59" s="9">
        <x:f>IF(AND(X59&lt;&gt;"",T59&lt;&gt;""),X59/T59,"")</x:f>
      </x:c>
    </x:row>
    <x:row r="60">
      <x:c r="L60" s="7" t="n"/>
      <x:c r="M60" s="7" t="n"/>
      <x:c r="N60" s="7" t="n"/>
      <x:c r="O60">
        <x:f>IF(AND(N60&lt;&gt;"",L60&lt;&gt;""),N60-L60,"")</x:f>
      </x:c>
      <x:c r="P60">
        <x:f>IF(AND(N60&lt;&gt;"",M60&lt;&gt;""),IF(N60&lt;=M60,"Yes","No"),"")</x:f>
      </x:c>
      <x:c r="S60" s="8" t="n"/>
      <x:c r="T60">
        <x:f>IF(AND(G60&lt;&gt;"",S60&lt;&gt;""),ROUNDUP(G60*S60,0),"")</x:f>
      </x:c>
      <x:c r="X60">
        <x:f>IF(OR(V60&lt;&gt;"",W60&lt;&gt;""),V60+W60,"")</x:f>
      </x:c>
      <x:c r="Y60" s="9">
        <x:f>IF(AND(X60&lt;&gt;"",T60&lt;&gt;""),X60/T60,"")</x:f>
      </x:c>
    </x:row>
    <x:row r="61">
      <x:c r="L61" s="7" t="n"/>
      <x:c r="M61" s="7" t="n"/>
      <x:c r="N61" s="7" t="n"/>
      <x:c r="O61">
        <x:f>IF(AND(N61&lt;&gt;"",L61&lt;&gt;""),N61-L61,"")</x:f>
      </x:c>
      <x:c r="P61">
        <x:f>IF(AND(N61&lt;&gt;"",M61&lt;&gt;""),IF(N61&lt;=M61,"Yes","No"),"")</x:f>
      </x:c>
      <x:c r="S61" s="8" t="n"/>
      <x:c r="T61">
        <x:f>IF(AND(G61&lt;&gt;"",S61&lt;&gt;""),ROUNDUP(G61*S61,0),"")</x:f>
      </x:c>
      <x:c r="X61">
        <x:f>IF(OR(V61&lt;&gt;"",W61&lt;&gt;""),V61+W61,"")</x:f>
      </x:c>
      <x:c r="Y61" s="9">
        <x:f>IF(AND(X61&lt;&gt;"",T61&lt;&gt;""),X61/T61,"")</x:f>
      </x:c>
    </x:row>
    <x:row r="62">
      <x:c r="L62" s="7" t="n"/>
      <x:c r="M62" s="7" t="n"/>
      <x:c r="N62" s="7" t="n"/>
      <x:c r="O62">
        <x:f>IF(AND(N62&lt;&gt;"",L62&lt;&gt;""),N62-L62,"")</x:f>
      </x:c>
      <x:c r="P62">
        <x:f>IF(AND(N62&lt;&gt;"",M62&lt;&gt;""),IF(N62&lt;=M62,"Yes","No"),"")</x:f>
      </x:c>
      <x:c r="S62" s="8" t="n"/>
      <x:c r="T62">
        <x:f>IF(AND(G62&lt;&gt;"",S62&lt;&gt;""),ROUNDUP(G62*S62,0),"")</x:f>
      </x:c>
      <x:c r="X62">
        <x:f>IF(OR(V62&lt;&gt;"",W62&lt;&gt;""),V62+W62,"")</x:f>
      </x:c>
      <x:c r="Y62" s="9">
        <x:f>IF(AND(X62&lt;&gt;"",T62&lt;&gt;""),X62/T62,"")</x:f>
      </x:c>
    </x:row>
    <x:row r="63">
      <x:c r="L63" s="7" t="n"/>
      <x:c r="M63" s="7" t="n"/>
      <x:c r="N63" s="7" t="n"/>
      <x:c r="O63">
        <x:f>IF(AND(N63&lt;&gt;"",L63&lt;&gt;""),N63-L63,"")</x:f>
      </x:c>
      <x:c r="P63">
        <x:f>IF(AND(N63&lt;&gt;"",M63&lt;&gt;""),IF(N63&lt;=M63,"Yes","No"),"")</x:f>
      </x:c>
      <x:c r="S63" s="8" t="n"/>
      <x:c r="T63">
        <x:f>IF(AND(G63&lt;&gt;"",S63&lt;&gt;""),ROUNDUP(G63*S63,0),"")</x:f>
      </x:c>
      <x:c r="X63">
        <x:f>IF(OR(V63&lt;&gt;"",W63&lt;&gt;""),V63+W63,"")</x:f>
      </x:c>
      <x:c r="Y63" s="9">
        <x:f>IF(AND(X63&lt;&gt;"",T63&lt;&gt;""),X63/T63,"")</x:f>
      </x:c>
    </x:row>
    <x:row r="64">
      <x:c r="L64" s="7" t="n"/>
      <x:c r="M64" s="7" t="n"/>
      <x:c r="N64" s="7" t="n"/>
      <x:c r="O64">
        <x:f>IF(AND(N64&lt;&gt;"",L64&lt;&gt;""),N64-L64,"")</x:f>
      </x:c>
      <x:c r="P64">
        <x:f>IF(AND(N64&lt;&gt;"",M64&lt;&gt;""),IF(N64&lt;=M64,"Yes","No"),"")</x:f>
      </x:c>
      <x:c r="S64" s="8" t="n"/>
      <x:c r="T64">
        <x:f>IF(AND(G64&lt;&gt;"",S64&lt;&gt;""),ROUNDUP(G64*S64,0),"")</x:f>
      </x:c>
      <x:c r="X64">
        <x:f>IF(OR(V64&lt;&gt;"",W64&lt;&gt;""),V64+W64,"")</x:f>
      </x:c>
      <x:c r="Y64" s="9">
        <x:f>IF(AND(X64&lt;&gt;"",T64&lt;&gt;""),X64/T64,"")</x:f>
      </x:c>
    </x:row>
    <x:row r="65">
      <x:c r="L65" s="7" t="n"/>
      <x:c r="M65" s="7" t="n"/>
      <x:c r="N65" s="7" t="n"/>
      <x:c r="O65">
        <x:f>IF(AND(N65&lt;&gt;"",L65&lt;&gt;""),N65-L65,"")</x:f>
      </x:c>
      <x:c r="P65">
        <x:f>IF(AND(N65&lt;&gt;"",M65&lt;&gt;""),IF(N65&lt;=M65,"Yes","No"),"")</x:f>
      </x:c>
      <x:c r="S65" s="8" t="n"/>
      <x:c r="T65">
        <x:f>IF(AND(G65&lt;&gt;"",S65&lt;&gt;""),ROUNDUP(G65*S65,0),"")</x:f>
      </x:c>
      <x:c r="X65">
        <x:f>IF(OR(V65&lt;&gt;"",W65&lt;&gt;""),V65+W65,"")</x:f>
      </x:c>
      <x:c r="Y65" s="9">
        <x:f>IF(AND(X65&lt;&gt;"",T65&lt;&gt;""),X65/T65,"")</x:f>
      </x:c>
    </x:row>
    <x:row r="66">
      <x:c r="L66" s="7" t="n"/>
      <x:c r="M66" s="7" t="n"/>
      <x:c r="N66" s="7" t="n"/>
      <x:c r="O66">
        <x:f>IF(AND(N66&lt;&gt;"",L66&lt;&gt;""),N66-L66,"")</x:f>
      </x:c>
      <x:c r="P66">
        <x:f>IF(AND(N66&lt;&gt;"",M66&lt;&gt;""),IF(N66&lt;=M66,"Yes","No"),"")</x:f>
      </x:c>
      <x:c r="S66" s="8" t="n"/>
      <x:c r="T66">
        <x:f>IF(AND(G66&lt;&gt;"",S66&lt;&gt;""),ROUNDUP(G66*S66,0),"")</x:f>
      </x:c>
      <x:c r="X66">
        <x:f>IF(OR(V66&lt;&gt;"",W66&lt;&gt;""),V66+W66,"")</x:f>
      </x:c>
      <x:c r="Y66" s="9">
        <x:f>IF(AND(X66&lt;&gt;"",T66&lt;&gt;""),X66/T66,"")</x:f>
      </x:c>
    </x:row>
    <x:row r="67">
      <x:c r="L67" s="7" t="n"/>
      <x:c r="M67" s="7" t="n"/>
      <x:c r="N67" s="7" t="n"/>
      <x:c r="O67">
        <x:f>IF(AND(N67&lt;&gt;"",L67&lt;&gt;""),N67-L67,"")</x:f>
      </x:c>
      <x:c r="P67">
        <x:f>IF(AND(N67&lt;&gt;"",M67&lt;&gt;""),IF(N67&lt;=M67,"Yes","No"),"")</x:f>
      </x:c>
      <x:c r="S67" s="8" t="n"/>
      <x:c r="T67">
        <x:f>IF(AND(G67&lt;&gt;"",S67&lt;&gt;""),ROUNDUP(G67*S67,0),"")</x:f>
      </x:c>
      <x:c r="X67">
        <x:f>IF(OR(V67&lt;&gt;"",W67&lt;&gt;""),V67+W67,"")</x:f>
      </x:c>
      <x:c r="Y67" s="9">
        <x:f>IF(AND(X67&lt;&gt;"",T67&lt;&gt;""),X67/T67,"")</x:f>
      </x:c>
    </x:row>
    <x:row r="68">
      <x:c r="L68" s="7" t="n"/>
      <x:c r="M68" s="7" t="n"/>
      <x:c r="N68" s="7" t="n"/>
      <x:c r="O68">
        <x:f>IF(AND(N68&lt;&gt;"",L68&lt;&gt;""),N68-L68,"")</x:f>
      </x:c>
      <x:c r="P68">
        <x:f>IF(AND(N68&lt;&gt;"",M68&lt;&gt;""),IF(N68&lt;=M68,"Yes","No"),"")</x:f>
      </x:c>
      <x:c r="S68" s="8" t="n"/>
      <x:c r="T68">
        <x:f>IF(AND(G68&lt;&gt;"",S68&lt;&gt;""),ROUNDUP(G68*S68,0),"")</x:f>
      </x:c>
      <x:c r="X68">
        <x:f>IF(OR(V68&lt;&gt;"",W68&lt;&gt;""),V68+W68,"")</x:f>
      </x:c>
      <x:c r="Y68" s="9">
        <x:f>IF(AND(X68&lt;&gt;"",T68&lt;&gt;""),X68/T68,"")</x:f>
      </x:c>
    </x:row>
    <x:row r="69">
      <x:c r="L69" s="7" t="n"/>
      <x:c r="M69" s="7" t="n"/>
      <x:c r="N69" s="7" t="n"/>
      <x:c r="O69">
        <x:f>IF(AND(N69&lt;&gt;"",L69&lt;&gt;""),N69-L69,"")</x:f>
      </x:c>
      <x:c r="P69">
        <x:f>IF(AND(N69&lt;&gt;"",M69&lt;&gt;""),IF(N69&lt;=M69,"Yes","No"),"")</x:f>
      </x:c>
      <x:c r="S69" s="8" t="n"/>
      <x:c r="T69">
        <x:f>IF(AND(G69&lt;&gt;"",S69&lt;&gt;""),ROUNDUP(G69*S69,0),"")</x:f>
      </x:c>
      <x:c r="X69">
        <x:f>IF(OR(V69&lt;&gt;"",W69&lt;&gt;""),V69+W69,"")</x:f>
      </x:c>
      <x:c r="Y69" s="9">
        <x:f>IF(AND(X69&lt;&gt;"",T69&lt;&gt;""),X69/T69,"")</x:f>
      </x:c>
    </x:row>
    <x:row r="70">
      <x:c r="L70" s="7" t="n"/>
      <x:c r="M70" s="7" t="n"/>
      <x:c r="N70" s="7" t="n"/>
      <x:c r="O70">
        <x:f>IF(AND(N70&lt;&gt;"",L70&lt;&gt;""),N70-L70,"")</x:f>
      </x:c>
      <x:c r="P70">
        <x:f>IF(AND(N70&lt;&gt;"",M70&lt;&gt;""),IF(N70&lt;=M70,"Yes","No"),"")</x:f>
      </x:c>
      <x:c r="S70" s="8" t="n"/>
      <x:c r="T70">
        <x:f>IF(AND(G70&lt;&gt;"",S70&lt;&gt;""),ROUNDUP(G70*S70,0),"")</x:f>
      </x:c>
      <x:c r="X70">
        <x:f>IF(OR(V70&lt;&gt;"",W70&lt;&gt;""),V70+W70,"")</x:f>
      </x:c>
      <x:c r="Y70" s="9">
        <x:f>IF(AND(X70&lt;&gt;"",T70&lt;&gt;""),X70/T70,"")</x:f>
      </x:c>
    </x:row>
    <x:row r="71">
      <x:c r="L71" s="7" t="n"/>
      <x:c r="M71" s="7" t="n"/>
      <x:c r="N71" s="7" t="n"/>
      <x:c r="O71">
        <x:f>IF(AND(N71&lt;&gt;"",L71&lt;&gt;""),N71-L71,"")</x:f>
      </x:c>
      <x:c r="P71">
        <x:f>IF(AND(N71&lt;&gt;"",M71&lt;&gt;""),IF(N71&lt;=M71,"Yes","No"),"")</x:f>
      </x:c>
      <x:c r="S71" s="8" t="n"/>
      <x:c r="T71">
        <x:f>IF(AND(G71&lt;&gt;"",S71&lt;&gt;""),ROUNDUP(G71*S71,0),"")</x:f>
      </x:c>
      <x:c r="X71">
        <x:f>IF(OR(V71&lt;&gt;"",W71&lt;&gt;""),V71+W71,"")</x:f>
      </x:c>
      <x:c r="Y71" s="9">
        <x:f>IF(AND(X71&lt;&gt;"",T71&lt;&gt;""),X71/T71,"")</x:f>
      </x:c>
    </x:row>
    <x:row r="72">
      <x:c r="L72" s="7" t="n"/>
      <x:c r="M72" s="7" t="n"/>
      <x:c r="N72" s="7" t="n"/>
      <x:c r="O72">
        <x:f>IF(AND(N72&lt;&gt;"",L72&lt;&gt;""),N72-L72,"")</x:f>
      </x:c>
      <x:c r="P72">
        <x:f>IF(AND(N72&lt;&gt;"",M72&lt;&gt;""),IF(N72&lt;=M72,"Yes","No"),"")</x:f>
      </x:c>
      <x:c r="S72" s="8" t="n"/>
      <x:c r="T72">
        <x:f>IF(AND(G72&lt;&gt;"",S72&lt;&gt;""),ROUNDUP(G72*S72,0),"")</x:f>
      </x:c>
      <x:c r="X72">
        <x:f>IF(OR(V72&lt;&gt;"",W72&lt;&gt;""),V72+W72,"")</x:f>
      </x:c>
      <x:c r="Y72" s="9">
        <x:f>IF(AND(X72&lt;&gt;"",T72&lt;&gt;""),X72/T72,"")</x:f>
      </x:c>
    </x:row>
    <x:row r="73">
      <x:c r="L73" s="7" t="n"/>
      <x:c r="M73" s="7" t="n"/>
      <x:c r="N73" s="7" t="n"/>
      <x:c r="O73">
        <x:f>IF(AND(N73&lt;&gt;"",L73&lt;&gt;""),N73-L73,"")</x:f>
      </x:c>
      <x:c r="P73">
        <x:f>IF(AND(N73&lt;&gt;"",M73&lt;&gt;""),IF(N73&lt;=M73,"Yes","No"),"")</x:f>
      </x:c>
      <x:c r="S73" s="8" t="n"/>
      <x:c r="T73">
        <x:f>IF(AND(G73&lt;&gt;"",S73&lt;&gt;""),ROUNDUP(G73*S73,0),"")</x:f>
      </x:c>
      <x:c r="X73">
        <x:f>IF(OR(V73&lt;&gt;"",W73&lt;&gt;""),V73+W73,"")</x:f>
      </x:c>
      <x:c r="Y73" s="9">
        <x:f>IF(AND(X73&lt;&gt;"",T73&lt;&gt;""),X73/T73,"")</x:f>
      </x:c>
    </x:row>
    <x:row r="74">
      <x:c r="L74" s="7" t="n"/>
      <x:c r="M74" s="7" t="n"/>
      <x:c r="N74" s="7" t="n"/>
      <x:c r="O74">
        <x:f>IF(AND(N74&lt;&gt;"",L74&lt;&gt;""),N74-L74,"")</x:f>
      </x:c>
      <x:c r="P74">
        <x:f>IF(AND(N74&lt;&gt;"",M74&lt;&gt;""),IF(N74&lt;=M74,"Yes","No"),"")</x:f>
      </x:c>
      <x:c r="S74" s="8" t="n"/>
      <x:c r="T74">
        <x:f>IF(AND(G74&lt;&gt;"",S74&lt;&gt;""),ROUNDUP(G74*S74,0),"")</x:f>
      </x:c>
      <x:c r="X74">
        <x:f>IF(OR(V74&lt;&gt;"",W74&lt;&gt;""),V74+W74,"")</x:f>
      </x:c>
      <x:c r="Y74" s="9">
        <x:f>IF(AND(X74&lt;&gt;"",T74&lt;&gt;""),X74/T74,"")</x:f>
      </x:c>
    </x:row>
    <x:row r="75">
      <x:c r="L75" s="7" t="n"/>
      <x:c r="M75" s="7" t="n"/>
      <x:c r="N75" s="7" t="n"/>
      <x:c r="O75">
        <x:f>IF(AND(N75&lt;&gt;"",L75&lt;&gt;""),N75-L75,"")</x:f>
      </x:c>
      <x:c r="P75">
        <x:f>IF(AND(N75&lt;&gt;"",M75&lt;&gt;""),IF(N75&lt;=M75,"Yes","No"),"")</x:f>
      </x:c>
      <x:c r="S75" s="8" t="n"/>
      <x:c r="T75">
        <x:f>IF(AND(G75&lt;&gt;"",S75&lt;&gt;""),ROUNDUP(G75*S75,0),"")</x:f>
      </x:c>
      <x:c r="X75">
        <x:f>IF(OR(V75&lt;&gt;"",W75&lt;&gt;""),V75+W75,"")</x:f>
      </x:c>
      <x:c r="Y75" s="9">
        <x:f>IF(AND(X75&lt;&gt;"",T75&lt;&gt;""),X75/T75,"")</x:f>
      </x:c>
    </x:row>
    <x:row r="76">
      <x:c r="L76" s="7" t="n"/>
      <x:c r="M76" s="7" t="n"/>
      <x:c r="N76" s="7" t="n"/>
      <x:c r="O76">
        <x:f>IF(AND(N76&lt;&gt;"",L76&lt;&gt;""),N76-L76,"")</x:f>
      </x:c>
      <x:c r="P76">
        <x:f>IF(AND(N76&lt;&gt;"",M76&lt;&gt;""),IF(N76&lt;=M76,"Yes","No"),"")</x:f>
      </x:c>
      <x:c r="S76" s="8" t="n"/>
      <x:c r="T76">
        <x:f>IF(AND(G76&lt;&gt;"",S76&lt;&gt;""),ROUNDUP(G76*S76,0),"")</x:f>
      </x:c>
      <x:c r="X76">
        <x:f>IF(OR(V76&lt;&gt;"",W76&lt;&gt;""),V76+W76,"")</x:f>
      </x:c>
      <x:c r="Y76" s="9">
        <x:f>IF(AND(X76&lt;&gt;"",T76&lt;&gt;""),X76/T76,"")</x:f>
      </x:c>
    </x:row>
    <x:row r="77">
      <x:c r="L77" s="7" t="n"/>
      <x:c r="M77" s="7" t="n"/>
      <x:c r="N77" s="7" t="n"/>
      <x:c r="O77">
        <x:f>IF(AND(N77&lt;&gt;"",L77&lt;&gt;""),N77-L77,"")</x:f>
      </x:c>
      <x:c r="P77">
        <x:f>IF(AND(N77&lt;&gt;"",M77&lt;&gt;""),IF(N77&lt;=M77,"Yes","No"),"")</x:f>
      </x:c>
      <x:c r="S77" s="8" t="n"/>
      <x:c r="T77">
        <x:f>IF(AND(G77&lt;&gt;"",S77&lt;&gt;""),ROUNDUP(G77*S77,0),"")</x:f>
      </x:c>
      <x:c r="X77">
        <x:f>IF(OR(V77&lt;&gt;"",W77&lt;&gt;""),V77+W77,"")</x:f>
      </x:c>
      <x:c r="Y77" s="9">
        <x:f>IF(AND(X77&lt;&gt;"",T77&lt;&gt;""),X77/T77,"")</x:f>
      </x:c>
    </x:row>
    <x:row r="78">
      <x:c r="L78" s="7" t="n"/>
      <x:c r="M78" s="7" t="n"/>
      <x:c r="N78" s="7" t="n"/>
      <x:c r="O78">
        <x:f>IF(AND(N78&lt;&gt;"",L78&lt;&gt;""),N78-L78,"")</x:f>
      </x:c>
      <x:c r="P78">
        <x:f>IF(AND(N78&lt;&gt;"",M78&lt;&gt;""),IF(N78&lt;=M78,"Yes","No"),"")</x:f>
      </x:c>
      <x:c r="S78" s="8" t="n"/>
      <x:c r="T78">
        <x:f>IF(AND(G78&lt;&gt;"",S78&lt;&gt;""),ROUNDUP(G78*S78,0),"")</x:f>
      </x:c>
      <x:c r="X78">
        <x:f>IF(OR(V78&lt;&gt;"",W78&lt;&gt;""),V78+W78,"")</x:f>
      </x:c>
      <x:c r="Y78" s="9">
        <x:f>IF(AND(X78&lt;&gt;"",T78&lt;&gt;""),X78/T78,"")</x:f>
      </x:c>
    </x:row>
    <x:row r="79">
      <x:c r="L79" s="7" t="n"/>
      <x:c r="M79" s="7" t="n"/>
      <x:c r="N79" s="7" t="n"/>
      <x:c r="O79">
        <x:f>IF(AND(N79&lt;&gt;"",L79&lt;&gt;""),N79-L79,"")</x:f>
      </x:c>
      <x:c r="P79">
        <x:f>IF(AND(N79&lt;&gt;"",M79&lt;&gt;""),IF(N79&lt;=M79,"Yes","No"),"")</x:f>
      </x:c>
      <x:c r="S79" s="8" t="n"/>
      <x:c r="T79">
        <x:f>IF(AND(G79&lt;&gt;"",S79&lt;&gt;""),ROUNDUP(G79*S79,0),"")</x:f>
      </x:c>
      <x:c r="X79">
        <x:f>IF(OR(V79&lt;&gt;"",W79&lt;&gt;""),V79+W79,"")</x:f>
      </x:c>
      <x:c r="Y79" s="9">
        <x:f>IF(AND(X79&lt;&gt;"",T79&lt;&gt;""),X79/T79,"")</x:f>
      </x:c>
    </x:row>
    <x:row r="80">
      <x:c r="L80" s="7" t="n"/>
      <x:c r="M80" s="7" t="n"/>
      <x:c r="N80" s="7" t="n"/>
      <x:c r="O80">
        <x:f>IF(AND(N80&lt;&gt;"",L80&lt;&gt;""),N80-L80,"")</x:f>
      </x:c>
      <x:c r="P80">
        <x:f>IF(AND(N80&lt;&gt;"",M80&lt;&gt;""),IF(N80&lt;=M80,"Yes","No"),"")</x:f>
      </x:c>
      <x:c r="S80" s="8" t="n"/>
      <x:c r="T80">
        <x:f>IF(AND(G80&lt;&gt;"",S80&lt;&gt;""),ROUNDUP(G80*S80,0),"")</x:f>
      </x:c>
      <x:c r="X80">
        <x:f>IF(OR(V80&lt;&gt;"",W80&lt;&gt;""),V80+W80,"")</x:f>
      </x:c>
      <x:c r="Y80" s="9">
        <x:f>IF(AND(X80&lt;&gt;"",T80&lt;&gt;""),X80/T80,"")</x:f>
      </x:c>
    </x:row>
    <x:row r="81">
      <x:c r="L81" s="7" t="n"/>
      <x:c r="M81" s="7" t="n"/>
      <x:c r="N81" s="7" t="n"/>
      <x:c r="O81">
        <x:f>IF(AND(N81&lt;&gt;"",L81&lt;&gt;""),N81-L81,"")</x:f>
      </x:c>
      <x:c r="P81">
        <x:f>IF(AND(N81&lt;&gt;"",M81&lt;&gt;""),IF(N81&lt;=M81,"Yes","No"),"")</x:f>
      </x:c>
      <x:c r="S81" s="8" t="n"/>
      <x:c r="T81">
        <x:f>IF(AND(G81&lt;&gt;"",S81&lt;&gt;""),ROUNDUP(G81*S81,0),"")</x:f>
      </x:c>
      <x:c r="X81">
        <x:f>IF(OR(V81&lt;&gt;"",W81&lt;&gt;""),V81+W81,"")</x:f>
      </x:c>
      <x:c r="Y81" s="9">
        <x:f>IF(AND(X81&lt;&gt;"",T81&lt;&gt;""),X81/T81,"")</x:f>
      </x:c>
    </x:row>
    <x:row r="82">
      <x:c r="L82" s="7" t="n"/>
      <x:c r="M82" s="7" t="n"/>
      <x:c r="N82" s="7" t="n"/>
      <x:c r="O82">
        <x:f>IF(AND(N82&lt;&gt;"",L82&lt;&gt;""),N82-L82,"")</x:f>
      </x:c>
      <x:c r="P82">
        <x:f>IF(AND(N82&lt;&gt;"",M82&lt;&gt;""),IF(N82&lt;=M82,"Yes","No"),"")</x:f>
      </x:c>
      <x:c r="S82" s="8" t="n"/>
      <x:c r="T82">
        <x:f>IF(AND(G82&lt;&gt;"",S82&lt;&gt;""),ROUNDUP(G82*S82,0),"")</x:f>
      </x:c>
      <x:c r="X82">
        <x:f>IF(OR(V82&lt;&gt;"",W82&lt;&gt;""),V82+W82,"")</x:f>
      </x:c>
      <x:c r="Y82" s="9">
        <x:f>IF(AND(X82&lt;&gt;"",T82&lt;&gt;""),X82/T82,"")</x:f>
      </x:c>
    </x:row>
    <x:row r="83">
      <x:c r="L83" s="7" t="n"/>
      <x:c r="M83" s="7" t="n"/>
      <x:c r="N83" s="7" t="n"/>
      <x:c r="O83">
        <x:f>IF(AND(N83&lt;&gt;"",L83&lt;&gt;""),N83-L83,"")</x:f>
      </x:c>
      <x:c r="P83">
        <x:f>IF(AND(N83&lt;&gt;"",M83&lt;&gt;""),IF(N83&lt;=M83,"Yes","No"),"")</x:f>
      </x:c>
      <x:c r="S83" s="8" t="n"/>
      <x:c r="T83">
        <x:f>IF(AND(G83&lt;&gt;"",S83&lt;&gt;""),ROUNDUP(G83*S83,0),"")</x:f>
      </x:c>
      <x:c r="X83">
        <x:f>IF(OR(V83&lt;&gt;"",W83&lt;&gt;""),V83+W83,"")</x:f>
      </x:c>
      <x:c r="Y83" s="9">
        <x:f>IF(AND(X83&lt;&gt;"",T83&lt;&gt;""),X83/T83,"")</x:f>
      </x:c>
    </x:row>
    <x:row r="84">
      <x:c r="L84" s="7" t="n"/>
      <x:c r="M84" s="7" t="n"/>
      <x:c r="N84" s="7" t="n"/>
      <x:c r="O84">
        <x:f>IF(AND(N84&lt;&gt;"",L84&lt;&gt;""),N84-L84,"")</x:f>
      </x:c>
      <x:c r="P84">
        <x:f>IF(AND(N84&lt;&gt;"",M84&lt;&gt;""),IF(N84&lt;=M84,"Yes","No"),"")</x:f>
      </x:c>
      <x:c r="S84" s="8" t="n"/>
      <x:c r="T84">
        <x:f>IF(AND(G84&lt;&gt;"",S84&lt;&gt;""),ROUNDUP(G84*S84,0),"")</x:f>
      </x:c>
      <x:c r="X84">
        <x:f>IF(OR(V84&lt;&gt;"",W84&lt;&gt;""),V84+W84,"")</x:f>
      </x:c>
      <x:c r="Y84" s="9">
        <x:f>IF(AND(X84&lt;&gt;"",T84&lt;&gt;""),X84/T84,"")</x:f>
      </x:c>
    </x:row>
    <x:row r="85">
      <x:c r="L85" s="7" t="n"/>
      <x:c r="M85" s="7" t="n"/>
      <x:c r="N85" s="7" t="n"/>
      <x:c r="O85">
        <x:f>IF(AND(N85&lt;&gt;"",L85&lt;&gt;""),N85-L85,"")</x:f>
      </x:c>
      <x:c r="P85">
        <x:f>IF(AND(N85&lt;&gt;"",M85&lt;&gt;""),IF(N85&lt;=M85,"Yes","No"),"")</x:f>
      </x:c>
      <x:c r="S85" s="8" t="n"/>
      <x:c r="T85">
        <x:f>IF(AND(G85&lt;&gt;"",S85&lt;&gt;""),ROUNDUP(G85*S85,0),"")</x:f>
      </x:c>
      <x:c r="X85">
        <x:f>IF(OR(V85&lt;&gt;"",W85&lt;&gt;""),V85+W85,"")</x:f>
      </x:c>
      <x:c r="Y85" s="9">
        <x:f>IF(AND(X85&lt;&gt;"",T85&lt;&gt;""),X85/T85,"")</x:f>
      </x:c>
    </x:row>
    <x:row r="86">
      <x:c r="L86" s="7" t="n"/>
      <x:c r="M86" s="7" t="n"/>
      <x:c r="N86" s="7" t="n"/>
      <x:c r="O86">
        <x:f>IF(AND(N86&lt;&gt;"",L86&lt;&gt;""),N86-L86,"")</x:f>
      </x:c>
      <x:c r="P86">
        <x:f>IF(AND(N86&lt;&gt;"",M86&lt;&gt;""),IF(N86&lt;=M86,"Yes","No"),"")</x:f>
      </x:c>
      <x:c r="S86" s="8" t="n"/>
      <x:c r="T86">
        <x:f>IF(AND(G86&lt;&gt;"",S86&lt;&gt;""),ROUNDUP(G86*S86,0),"")</x:f>
      </x:c>
      <x:c r="X86">
        <x:f>IF(OR(V86&lt;&gt;"",W86&lt;&gt;""),V86+W86,"")</x:f>
      </x:c>
      <x:c r="Y86" s="9">
        <x:f>IF(AND(X86&lt;&gt;"",T86&lt;&gt;""),X86/T86,"")</x:f>
      </x:c>
    </x:row>
    <x:row r="87">
      <x:c r="L87" s="7" t="n"/>
      <x:c r="M87" s="7" t="n"/>
      <x:c r="N87" s="7" t="n"/>
      <x:c r="O87">
        <x:f>IF(AND(N87&lt;&gt;"",L87&lt;&gt;""),N87-L87,"")</x:f>
      </x:c>
      <x:c r="P87">
        <x:f>IF(AND(N87&lt;&gt;"",M87&lt;&gt;""),IF(N87&lt;=M87,"Yes","No"),"")</x:f>
      </x:c>
      <x:c r="S87" s="8" t="n"/>
      <x:c r="T87">
        <x:f>IF(AND(G87&lt;&gt;"",S87&lt;&gt;""),ROUNDUP(G87*S87,0),"")</x:f>
      </x:c>
      <x:c r="X87">
        <x:f>IF(OR(V87&lt;&gt;"",W87&lt;&gt;""),V87+W87,"")</x:f>
      </x:c>
      <x:c r="Y87" s="9">
        <x:f>IF(AND(X87&lt;&gt;"",T87&lt;&gt;""),X87/T87,"")</x:f>
      </x:c>
    </x:row>
    <x:row r="88">
      <x:c r="L88" s="7" t="n"/>
      <x:c r="M88" s="7" t="n"/>
      <x:c r="N88" s="7" t="n"/>
      <x:c r="O88">
        <x:f>IF(AND(N88&lt;&gt;"",L88&lt;&gt;""),N88-L88,"")</x:f>
      </x:c>
      <x:c r="P88">
        <x:f>IF(AND(N88&lt;&gt;"",M88&lt;&gt;""),IF(N88&lt;=M88,"Yes","No"),"")</x:f>
      </x:c>
      <x:c r="S88" s="8" t="n"/>
      <x:c r="T88">
        <x:f>IF(AND(G88&lt;&gt;"",S88&lt;&gt;""),ROUNDUP(G88*S88,0),"")</x:f>
      </x:c>
      <x:c r="X88">
        <x:f>IF(OR(V88&lt;&gt;"",W88&lt;&gt;""),V88+W88,"")</x:f>
      </x:c>
      <x:c r="Y88" s="9">
        <x:f>IF(AND(X88&lt;&gt;"",T88&lt;&gt;""),X88/T88,"")</x:f>
      </x:c>
    </x:row>
    <x:row r="89">
      <x:c r="L89" s="7" t="n"/>
      <x:c r="M89" s="7" t="n"/>
      <x:c r="N89" s="7" t="n"/>
      <x:c r="O89">
        <x:f>IF(AND(N89&lt;&gt;"",L89&lt;&gt;""),N89-L89,"")</x:f>
      </x:c>
      <x:c r="P89">
        <x:f>IF(AND(N89&lt;&gt;"",M89&lt;&gt;""),IF(N89&lt;=M89,"Yes","No"),"")</x:f>
      </x:c>
      <x:c r="S89" s="8" t="n"/>
      <x:c r="T89">
        <x:f>IF(AND(G89&lt;&gt;"",S89&lt;&gt;""),ROUNDUP(G89*S89,0),"")</x:f>
      </x:c>
      <x:c r="X89">
        <x:f>IF(OR(V89&lt;&gt;"",W89&lt;&gt;""),V89+W89,"")</x:f>
      </x:c>
      <x:c r="Y89" s="9">
        <x:f>IF(AND(X89&lt;&gt;"",T89&lt;&gt;""),X89/T89,"")</x:f>
      </x:c>
    </x:row>
    <x:row r="90">
      <x:c r="L90" s="7" t="n"/>
      <x:c r="M90" s="7" t="n"/>
      <x:c r="N90" s="7" t="n"/>
      <x:c r="O90">
        <x:f>IF(AND(N90&lt;&gt;"",L90&lt;&gt;""),N90-L90,"")</x:f>
      </x:c>
      <x:c r="P90">
        <x:f>IF(AND(N90&lt;&gt;"",M90&lt;&gt;""),IF(N90&lt;=M90,"Yes","No"),"")</x:f>
      </x:c>
      <x:c r="S90" s="8" t="n"/>
      <x:c r="T90">
        <x:f>IF(AND(G90&lt;&gt;"",S90&lt;&gt;""),ROUNDUP(G90*S90,0),"")</x:f>
      </x:c>
      <x:c r="X90">
        <x:f>IF(OR(V90&lt;&gt;"",W90&lt;&gt;""),V90+W90,"")</x:f>
      </x:c>
      <x:c r="Y90" s="9">
        <x:f>IF(AND(X90&lt;&gt;"",T90&lt;&gt;""),X90/T90,"")</x:f>
      </x:c>
    </x:row>
    <x:row r="91">
      <x:c r="L91" s="7" t="n"/>
      <x:c r="M91" s="7" t="n"/>
      <x:c r="N91" s="7" t="n"/>
      <x:c r="O91">
        <x:f>IF(AND(N91&lt;&gt;"",L91&lt;&gt;""),N91-L91,"")</x:f>
      </x:c>
      <x:c r="P91">
        <x:f>IF(AND(N91&lt;&gt;"",M91&lt;&gt;""),IF(N91&lt;=M91,"Yes","No"),"")</x:f>
      </x:c>
      <x:c r="S91" s="8" t="n"/>
      <x:c r="T91">
        <x:f>IF(AND(G91&lt;&gt;"",S91&lt;&gt;""),ROUNDUP(G91*S91,0),"")</x:f>
      </x:c>
      <x:c r="X91">
        <x:f>IF(OR(V91&lt;&gt;"",W91&lt;&gt;""),V91+W91,"")</x:f>
      </x:c>
      <x:c r="Y91" s="9">
        <x:f>IF(AND(X91&lt;&gt;"",T91&lt;&gt;""),X91/T91,"")</x:f>
      </x:c>
    </x:row>
    <x:row r="92">
      <x:c r="L92" s="7" t="n"/>
      <x:c r="M92" s="7" t="n"/>
      <x:c r="N92" s="7" t="n"/>
      <x:c r="O92">
        <x:f>IF(AND(N92&lt;&gt;"",L92&lt;&gt;""),N92-L92,"")</x:f>
      </x:c>
      <x:c r="P92">
        <x:f>IF(AND(N92&lt;&gt;"",M92&lt;&gt;""),IF(N92&lt;=M92,"Yes","No"),"")</x:f>
      </x:c>
      <x:c r="S92" s="8" t="n"/>
      <x:c r="T92">
        <x:f>IF(AND(G92&lt;&gt;"",S92&lt;&gt;""),ROUNDUP(G92*S92,0),"")</x:f>
      </x:c>
      <x:c r="X92">
        <x:f>IF(OR(V92&lt;&gt;"",W92&lt;&gt;""),V92+W92,"")</x:f>
      </x:c>
      <x:c r="Y92" s="9">
        <x:f>IF(AND(X92&lt;&gt;"",T92&lt;&gt;""),X92/T92,"")</x:f>
      </x:c>
    </x:row>
    <x:row r="93">
      <x:c r="L93" s="7" t="n"/>
      <x:c r="M93" s="7" t="n"/>
      <x:c r="N93" s="7" t="n"/>
      <x:c r="O93">
        <x:f>IF(AND(N93&lt;&gt;"",L93&lt;&gt;""),N93-L93,"")</x:f>
      </x:c>
      <x:c r="P93">
        <x:f>IF(AND(N93&lt;&gt;"",M93&lt;&gt;""),IF(N93&lt;=M93,"Yes","No"),"")</x:f>
      </x:c>
      <x:c r="S93" s="8" t="n"/>
      <x:c r="T93">
        <x:f>IF(AND(G93&lt;&gt;"",S93&lt;&gt;""),ROUNDUP(G93*S93,0),"")</x:f>
      </x:c>
      <x:c r="X93">
        <x:f>IF(OR(V93&lt;&gt;"",W93&lt;&gt;""),V93+W93,"")</x:f>
      </x:c>
      <x:c r="Y93" s="9">
        <x:f>IF(AND(X93&lt;&gt;"",T93&lt;&gt;""),X93/T93,"")</x:f>
      </x:c>
    </x:row>
    <x:row r="94">
      <x:c r="L94" s="7" t="n"/>
      <x:c r="M94" s="7" t="n"/>
      <x:c r="N94" s="7" t="n"/>
      <x:c r="O94">
        <x:f>IF(AND(N94&lt;&gt;"",L94&lt;&gt;""),N94-L94,"")</x:f>
      </x:c>
      <x:c r="P94">
        <x:f>IF(AND(N94&lt;&gt;"",M94&lt;&gt;""),IF(N94&lt;=M94,"Yes","No"),"")</x:f>
      </x:c>
      <x:c r="S94" s="8" t="n"/>
      <x:c r="T94">
        <x:f>IF(AND(G94&lt;&gt;"",S94&lt;&gt;""),ROUNDUP(G94*S94,0),"")</x:f>
      </x:c>
      <x:c r="X94">
        <x:f>IF(OR(V94&lt;&gt;"",W94&lt;&gt;""),V94+W94,"")</x:f>
      </x:c>
      <x:c r="Y94" s="9">
        <x:f>IF(AND(X94&lt;&gt;"",T94&lt;&gt;""),X94/T94,"")</x:f>
      </x:c>
    </x:row>
    <x:row r="95">
      <x:c r="L95" s="7" t="n"/>
      <x:c r="M95" s="7" t="n"/>
      <x:c r="N95" s="7" t="n"/>
      <x:c r="O95">
        <x:f>IF(AND(N95&lt;&gt;"",L95&lt;&gt;""),N95-L95,"")</x:f>
      </x:c>
      <x:c r="P95">
        <x:f>IF(AND(N95&lt;&gt;"",M95&lt;&gt;""),IF(N95&lt;=M95,"Yes","No"),"")</x:f>
      </x:c>
      <x:c r="S95" s="8" t="n"/>
      <x:c r="T95">
        <x:f>IF(AND(G95&lt;&gt;"",S95&lt;&gt;""),ROUNDUP(G95*S95,0),"")</x:f>
      </x:c>
      <x:c r="X95">
        <x:f>IF(OR(V95&lt;&gt;"",W95&lt;&gt;""),V95+W95,"")</x:f>
      </x:c>
      <x:c r="Y95" s="9">
        <x:f>IF(AND(X95&lt;&gt;"",T95&lt;&gt;""),X95/T95,"")</x:f>
      </x:c>
    </x:row>
    <x:row r="96">
      <x:c r="L96" s="7" t="n"/>
      <x:c r="M96" s="7" t="n"/>
      <x:c r="N96" s="7" t="n"/>
      <x:c r="O96">
        <x:f>IF(AND(N96&lt;&gt;"",L96&lt;&gt;""),N96-L96,"")</x:f>
      </x:c>
      <x:c r="P96">
        <x:f>IF(AND(N96&lt;&gt;"",M96&lt;&gt;""),IF(N96&lt;=M96,"Yes","No"),"")</x:f>
      </x:c>
      <x:c r="S96" s="8" t="n"/>
      <x:c r="T96">
        <x:f>IF(AND(G96&lt;&gt;"",S96&lt;&gt;""),ROUNDUP(G96*S96,0),"")</x:f>
      </x:c>
      <x:c r="X96">
        <x:f>IF(OR(V96&lt;&gt;"",W96&lt;&gt;""),V96+W96,"")</x:f>
      </x:c>
      <x:c r="Y96" s="9">
        <x:f>IF(AND(X96&lt;&gt;"",T96&lt;&gt;""),X96/T96,"")</x:f>
      </x:c>
    </x:row>
    <x:row r="97">
      <x:c r="L97" s="7" t="n"/>
      <x:c r="M97" s="7" t="n"/>
      <x:c r="N97" s="7" t="n"/>
      <x:c r="O97">
        <x:f>IF(AND(N97&lt;&gt;"",L97&lt;&gt;""),N97-L97,"")</x:f>
      </x:c>
      <x:c r="P97">
        <x:f>IF(AND(N97&lt;&gt;"",M97&lt;&gt;""),IF(N97&lt;=M97,"Yes","No"),"")</x:f>
      </x:c>
      <x:c r="S97" s="8" t="n"/>
      <x:c r="T97">
        <x:f>IF(AND(G97&lt;&gt;"",S97&lt;&gt;""),ROUNDUP(G97*S97,0),"")</x:f>
      </x:c>
      <x:c r="X97">
        <x:f>IF(OR(V97&lt;&gt;"",W97&lt;&gt;""),V97+W97,"")</x:f>
      </x:c>
      <x:c r="Y97" s="9">
        <x:f>IF(AND(X97&lt;&gt;"",T97&lt;&gt;""),X97/T97,"")</x:f>
      </x:c>
    </x:row>
    <x:row r="98">
      <x:c r="L98" s="7" t="n"/>
      <x:c r="M98" s="7" t="n"/>
      <x:c r="N98" s="7" t="n"/>
      <x:c r="O98">
        <x:f>IF(AND(N98&lt;&gt;"",L98&lt;&gt;""),N98-L98,"")</x:f>
      </x:c>
      <x:c r="P98">
        <x:f>IF(AND(N98&lt;&gt;"",M98&lt;&gt;""),IF(N98&lt;=M98,"Yes","No"),"")</x:f>
      </x:c>
      <x:c r="S98" s="8" t="n"/>
      <x:c r="T98">
        <x:f>IF(AND(G98&lt;&gt;"",S98&lt;&gt;""),ROUNDUP(G98*S98,0),"")</x:f>
      </x:c>
      <x:c r="X98">
        <x:f>IF(OR(V98&lt;&gt;"",W98&lt;&gt;""),V98+W98,"")</x:f>
      </x:c>
      <x:c r="Y98" s="9">
        <x:f>IF(AND(X98&lt;&gt;"",T98&lt;&gt;""),X98/T98,"")</x:f>
      </x:c>
    </x:row>
    <x:row r="99">
      <x:c r="L99" s="7" t="n"/>
      <x:c r="M99" s="7" t="n"/>
      <x:c r="N99" s="7" t="n"/>
      <x:c r="O99">
        <x:f>IF(AND(N99&lt;&gt;"",L99&lt;&gt;""),N99-L99,"")</x:f>
      </x:c>
      <x:c r="P99">
        <x:f>IF(AND(N99&lt;&gt;"",M99&lt;&gt;""),IF(N99&lt;=M99,"Yes","No"),"")</x:f>
      </x:c>
      <x:c r="S99" s="8" t="n"/>
      <x:c r="T99">
        <x:f>IF(AND(G99&lt;&gt;"",S99&lt;&gt;""),ROUNDUP(G99*S99,0),"")</x:f>
      </x:c>
      <x:c r="X99">
        <x:f>IF(OR(V99&lt;&gt;"",W99&lt;&gt;""),V99+W99,"")</x:f>
      </x:c>
      <x:c r="Y99" s="9">
        <x:f>IF(AND(X99&lt;&gt;"",T99&lt;&gt;""),X99/T99,"")</x:f>
      </x:c>
    </x:row>
    <x:row r="100">
      <x:c r="L100" s="7" t="n"/>
      <x:c r="M100" s="7" t="n"/>
      <x:c r="N100" s="7" t="n"/>
      <x:c r="O100">
        <x:f>IF(AND(N100&lt;&gt;"",L100&lt;&gt;""),N100-L100,"")</x:f>
      </x:c>
      <x:c r="P100">
        <x:f>IF(AND(N100&lt;&gt;"",M100&lt;&gt;""),IF(N100&lt;=M100,"Yes","No"),"")</x:f>
      </x:c>
      <x:c r="S100" s="8" t="n"/>
      <x:c r="T100">
        <x:f>IF(AND(G100&lt;&gt;"",S100&lt;&gt;""),ROUNDUP(G100*S100,0),"")</x:f>
      </x:c>
      <x:c r="X100">
        <x:f>IF(OR(V100&lt;&gt;"",W100&lt;&gt;""),V100+W100,"")</x:f>
      </x:c>
      <x:c r="Y100" s="9">
        <x:f>IF(AND(X100&lt;&gt;"",T100&lt;&gt;""),X100/T100,"")</x:f>
      </x:c>
    </x:row>
    <x:row r="101">
      <x:c r="L101" s="7" t="n"/>
      <x:c r="M101" s="7" t="n"/>
      <x:c r="N101" s="7" t="n"/>
      <x:c r="O101">
        <x:f>IF(AND(N101&lt;&gt;"",L101&lt;&gt;""),N101-L101,"")</x:f>
      </x:c>
      <x:c r="P101">
        <x:f>IF(AND(N101&lt;&gt;"",M101&lt;&gt;""),IF(N101&lt;=M101,"Yes","No"),"")</x:f>
      </x:c>
      <x:c r="S101" s="8" t="n"/>
      <x:c r="T101">
        <x:f>IF(AND(G101&lt;&gt;"",S101&lt;&gt;""),ROUNDUP(G101*S101,0),"")</x:f>
      </x:c>
      <x:c r="X101">
        <x:f>IF(OR(V101&lt;&gt;"",W101&lt;&gt;""),V101+W101,"")</x:f>
      </x:c>
      <x:c r="Y101" s="9">
        <x:f>IF(AND(X101&lt;&gt;"",T101&lt;&gt;""),X101/T101,"")</x:f>
      </x:c>
    </x:row>
    <x:row r="102">
      <x:c r="L102" s="7" t="n"/>
      <x:c r="M102" s="7" t="n"/>
      <x:c r="N102" s="7" t="n"/>
      <x:c r="O102">
        <x:f>IF(AND(N102&lt;&gt;"",L102&lt;&gt;""),N102-L102,"")</x:f>
      </x:c>
      <x:c r="P102">
        <x:f>IF(AND(N102&lt;&gt;"",M102&lt;&gt;""),IF(N102&lt;=M102,"Yes","No"),"")</x:f>
      </x:c>
      <x:c r="S102" s="8" t="n"/>
      <x:c r="T102">
        <x:f>IF(AND(G102&lt;&gt;"",S102&lt;&gt;""),ROUNDUP(G102*S102,0),"")</x:f>
      </x:c>
      <x:c r="X102">
        <x:f>IF(OR(V102&lt;&gt;"",W102&lt;&gt;""),V102+W102,"")</x:f>
      </x:c>
      <x:c r="Y102" s="9">
        <x:f>IF(AND(X102&lt;&gt;"",T102&lt;&gt;""),X102/T102,"")</x:f>
      </x:c>
    </x:row>
    <x:row r="103">
      <x:c r="L103" s="7" t="n"/>
      <x:c r="M103" s="7" t="n"/>
      <x:c r="N103" s="7" t="n"/>
      <x:c r="O103">
        <x:f>IF(AND(N103&lt;&gt;"",L103&lt;&gt;""),N103-L103,"")</x:f>
      </x:c>
      <x:c r="P103">
        <x:f>IF(AND(N103&lt;&gt;"",M103&lt;&gt;""),IF(N103&lt;=M103,"Yes","No"),"")</x:f>
      </x:c>
      <x:c r="S103" s="8" t="n"/>
      <x:c r="T103">
        <x:f>IF(AND(G103&lt;&gt;"",S103&lt;&gt;""),ROUNDUP(G103*S103,0),"")</x:f>
      </x:c>
      <x:c r="X103">
        <x:f>IF(OR(V103&lt;&gt;"",W103&lt;&gt;""),V103+W103,"")</x:f>
      </x:c>
      <x:c r="Y103" s="9">
        <x:f>IF(AND(X103&lt;&gt;"",T103&lt;&gt;""),X103/T103,"")</x:f>
      </x:c>
    </x:row>
    <x:row r="104">
      <x:c r="L104" s="7" t="n"/>
      <x:c r="M104" s="7" t="n"/>
      <x:c r="N104" s="7" t="n"/>
      <x:c r="O104">
        <x:f>IF(AND(N104&lt;&gt;"",L104&lt;&gt;""),N104-L104,"")</x:f>
      </x:c>
      <x:c r="P104">
        <x:f>IF(AND(N104&lt;&gt;"",M104&lt;&gt;""),IF(N104&lt;=M104,"Yes","No"),"")</x:f>
      </x:c>
      <x:c r="S104" s="8" t="n"/>
      <x:c r="T104">
        <x:f>IF(AND(G104&lt;&gt;"",S104&lt;&gt;""),ROUNDUP(G104*S104,0),"")</x:f>
      </x:c>
      <x:c r="X104">
        <x:f>IF(OR(V104&lt;&gt;"",W104&lt;&gt;""),V104+W104,"")</x:f>
      </x:c>
      <x:c r="Y104" s="9">
        <x:f>IF(AND(X104&lt;&gt;"",T104&lt;&gt;""),X104/T104,"")</x:f>
      </x:c>
    </x:row>
    <x:row r="105">
      <x:c r="L105" s="7" t="n"/>
      <x:c r="M105" s="7" t="n"/>
      <x:c r="N105" s="7" t="n"/>
      <x:c r="O105">
        <x:f>IF(AND(N105&lt;&gt;"",L105&lt;&gt;""),N105-L105,"")</x:f>
      </x:c>
      <x:c r="P105">
        <x:f>IF(AND(N105&lt;&gt;"",M105&lt;&gt;""),IF(N105&lt;=M105,"Yes","No"),"")</x:f>
      </x:c>
      <x:c r="S105" s="8" t="n"/>
      <x:c r="T105">
        <x:f>IF(AND(G105&lt;&gt;"",S105&lt;&gt;""),ROUNDUP(G105*S105,0),"")</x:f>
      </x:c>
      <x:c r="X105">
        <x:f>IF(OR(V105&lt;&gt;"",W105&lt;&gt;""),V105+W105,"")</x:f>
      </x:c>
      <x:c r="Y105" s="9">
        <x:f>IF(AND(X105&lt;&gt;"",T105&lt;&gt;""),X105/T105,"")</x:f>
      </x:c>
    </x:row>
    <x:row r="106">
      <x:c r="L106" s="7" t="n"/>
      <x:c r="M106" s="7" t="n"/>
      <x:c r="N106" s="7" t="n"/>
      <x:c r="O106">
        <x:f>IF(AND(N106&lt;&gt;"",L106&lt;&gt;""),N106-L106,"")</x:f>
      </x:c>
      <x:c r="P106">
        <x:f>IF(AND(N106&lt;&gt;"",M106&lt;&gt;""),IF(N106&lt;=M106,"Yes","No"),"")</x:f>
      </x:c>
      <x:c r="S106" s="8" t="n"/>
      <x:c r="T106">
        <x:f>IF(AND(G106&lt;&gt;"",S106&lt;&gt;""),ROUNDUP(G106*S106,0),"")</x:f>
      </x:c>
      <x:c r="X106">
        <x:f>IF(OR(V106&lt;&gt;"",W106&lt;&gt;""),V106+W106,"")</x:f>
      </x:c>
      <x:c r="Y106" s="9">
        <x:f>IF(AND(X106&lt;&gt;"",T106&lt;&gt;""),X106/T106,"")</x:f>
      </x:c>
    </x:row>
    <x:row r="107">
      <x:c r="L107" s="7" t="n"/>
      <x:c r="M107" s="7" t="n"/>
      <x:c r="N107" s="7" t="n"/>
      <x:c r="O107">
        <x:f>IF(AND(N107&lt;&gt;"",L107&lt;&gt;""),N107-L107,"")</x:f>
      </x:c>
      <x:c r="P107">
        <x:f>IF(AND(N107&lt;&gt;"",M107&lt;&gt;""),IF(N107&lt;=M107,"Yes","No"),"")</x:f>
      </x:c>
      <x:c r="S107" s="8" t="n"/>
      <x:c r="T107">
        <x:f>IF(AND(G107&lt;&gt;"",S107&lt;&gt;""),ROUNDUP(G107*S107,0),"")</x:f>
      </x:c>
      <x:c r="X107">
        <x:f>IF(OR(V107&lt;&gt;"",W107&lt;&gt;""),V107+W107,"")</x:f>
      </x:c>
      <x:c r="Y107" s="9">
        <x:f>IF(AND(X107&lt;&gt;"",T107&lt;&gt;""),X107/T107,"")</x:f>
      </x:c>
    </x:row>
    <x:row r="108">
      <x:c r="L108" s="7" t="n"/>
      <x:c r="M108" s="7" t="n"/>
      <x:c r="N108" s="7" t="n"/>
      <x:c r="O108">
        <x:f>IF(AND(N108&lt;&gt;"",L108&lt;&gt;""),N108-L108,"")</x:f>
      </x:c>
      <x:c r="P108">
        <x:f>IF(AND(N108&lt;&gt;"",M108&lt;&gt;""),IF(N108&lt;=M108,"Yes","No"),"")</x:f>
      </x:c>
      <x:c r="S108" s="8" t="n"/>
      <x:c r="T108">
        <x:f>IF(AND(G108&lt;&gt;"",S108&lt;&gt;""),ROUNDUP(G108*S108,0),"")</x:f>
      </x:c>
      <x:c r="X108">
        <x:f>IF(OR(V108&lt;&gt;"",W108&lt;&gt;""),V108+W108,"")</x:f>
      </x:c>
      <x:c r="Y108" s="9">
        <x:f>IF(AND(X108&lt;&gt;"",T108&lt;&gt;""),X108/T108,"")</x:f>
      </x:c>
    </x:row>
    <x:row r="109">
      <x:c r="L109" s="7" t="n"/>
      <x:c r="M109" s="7" t="n"/>
      <x:c r="N109" s="7" t="n"/>
      <x:c r="O109">
        <x:f>IF(AND(N109&lt;&gt;"",L109&lt;&gt;""),N109-L109,"")</x:f>
      </x:c>
      <x:c r="P109">
        <x:f>IF(AND(N109&lt;&gt;"",M109&lt;&gt;""),IF(N109&lt;=M109,"Yes","No"),"")</x:f>
      </x:c>
      <x:c r="S109" s="8" t="n"/>
      <x:c r="T109">
        <x:f>IF(AND(G109&lt;&gt;"",S109&lt;&gt;""),ROUNDUP(G109*S109,0),"")</x:f>
      </x:c>
      <x:c r="X109">
        <x:f>IF(OR(V109&lt;&gt;"",W109&lt;&gt;""),V109+W109,"")</x:f>
      </x:c>
      <x:c r="Y109" s="9">
        <x:f>IF(AND(X109&lt;&gt;"",T109&lt;&gt;""),X109/T109,"")</x:f>
      </x:c>
    </x:row>
    <x:row r="110">
      <x:c r="L110" s="7" t="n"/>
      <x:c r="M110" s="7" t="n"/>
      <x:c r="N110" s="7" t="n"/>
      <x:c r="O110">
        <x:f>IF(AND(N110&lt;&gt;"",L110&lt;&gt;""),N110-L110,"")</x:f>
      </x:c>
      <x:c r="P110">
        <x:f>IF(AND(N110&lt;&gt;"",M110&lt;&gt;""),IF(N110&lt;=M110,"Yes","No"),"")</x:f>
      </x:c>
      <x:c r="S110" s="8" t="n"/>
      <x:c r="T110">
        <x:f>IF(AND(G110&lt;&gt;"",S110&lt;&gt;""),ROUNDUP(G110*S110,0),"")</x:f>
      </x:c>
      <x:c r="X110">
        <x:f>IF(OR(V110&lt;&gt;"",W110&lt;&gt;""),V110+W110,"")</x:f>
      </x:c>
      <x:c r="Y110" s="9">
        <x:f>IF(AND(X110&lt;&gt;"",T110&lt;&gt;""),X110/T110,"")</x:f>
      </x:c>
    </x:row>
    <x:row r="111">
      <x:c r="L111" s="7" t="n"/>
      <x:c r="M111" s="7" t="n"/>
      <x:c r="N111" s="7" t="n"/>
      <x:c r="O111">
        <x:f>IF(AND(N111&lt;&gt;"",L111&lt;&gt;""),N111-L111,"")</x:f>
      </x:c>
      <x:c r="P111">
        <x:f>IF(AND(N111&lt;&gt;"",M111&lt;&gt;""),IF(N111&lt;=M111,"Yes","No"),"")</x:f>
      </x:c>
      <x:c r="S111" s="8" t="n"/>
      <x:c r="T111">
        <x:f>IF(AND(G111&lt;&gt;"",S111&lt;&gt;""),ROUNDUP(G111*S111,0),"")</x:f>
      </x:c>
      <x:c r="X111">
        <x:f>IF(OR(V111&lt;&gt;"",W111&lt;&gt;""),V111+W111,"")</x:f>
      </x:c>
      <x:c r="Y111" s="9">
        <x:f>IF(AND(X111&lt;&gt;"",T111&lt;&gt;""),X111/T111,"")</x:f>
      </x:c>
    </x:row>
    <x:row r="112">
      <x:c r="L112" s="7" t="n"/>
      <x:c r="M112" s="7" t="n"/>
      <x:c r="N112" s="7" t="n"/>
      <x:c r="O112">
        <x:f>IF(AND(N112&lt;&gt;"",L112&lt;&gt;""),N112-L112,"")</x:f>
      </x:c>
      <x:c r="P112">
        <x:f>IF(AND(N112&lt;&gt;"",M112&lt;&gt;""),IF(N112&lt;=M112,"Yes","No"),"")</x:f>
      </x:c>
      <x:c r="S112" s="8" t="n"/>
      <x:c r="T112">
        <x:f>IF(AND(G112&lt;&gt;"",S112&lt;&gt;""),ROUNDUP(G112*S112,0),"")</x:f>
      </x:c>
      <x:c r="X112">
        <x:f>IF(OR(V112&lt;&gt;"",W112&lt;&gt;""),V112+W112,"")</x:f>
      </x:c>
      <x:c r="Y112" s="9">
        <x:f>IF(AND(X112&lt;&gt;"",T112&lt;&gt;""),X112/T112,"")</x:f>
      </x:c>
    </x:row>
    <x:row r="113">
      <x:c r="L113" s="7" t="n"/>
      <x:c r="M113" s="7" t="n"/>
      <x:c r="N113" s="7" t="n"/>
      <x:c r="O113">
        <x:f>IF(AND(N113&lt;&gt;"",L113&lt;&gt;""),N113-L113,"")</x:f>
      </x:c>
      <x:c r="P113">
        <x:f>IF(AND(N113&lt;&gt;"",M113&lt;&gt;""),IF(N113&lt;=M113,"Yes","No"),"")</x:f>
      </x:c>
      <x:c r="S113" s="8" t="n"/>
      <x:c r="T113">
        <x:f>IF(AND(G113&lt;&gt;"",S113&lt;&gt;""),ROUNDUP(G113*S113,0),"")</x:f>
      </x:c>
      <x:c r="X113">
        <x:f>IF(OR(V113&lt;&gt;"",W113&lt;&gt;""),V113+W113,"")</x:f>
      </x:c>
      <x:c r="Y113" s="9">
        <x:f>IF(AND(X113&lt;&gt;"",T113&lt;&gt;""),X113/T113,"")</x:f>
      </x:c>
    </x:row>
    <x:row r="114">
      <x:c r="L114" s="7" t="n"/>
      <x:c r="M114" s="7" t="n"/>
      <x:c r="N114" s="7" t="n"/>
      <x:c r="O114">
        <x:f>IF(AND(N114&lt;&gt;"",L114&lt;&gt;""),N114-L114,"")</x:f>
      </x:c>
      <x:c r="P114">
        <x:f>IF(AND(N114&lt;&gt;"",M114&lt;&gt;""),IF(N114&lt;=M114,"Yes","No"),"")</x:f>
      </x:c>
      <x:c r="S114" s="8" t="n"/>
      <x:c r="T114">
        <x:f>IF(AND(G114&lt;&gt;"",S114&lt;&gt;""),ROUNDUP(G114*S114,0),"")</x:f>
      </x:c>
      <x:c r="X114">
        <x:f>IF(OR(V114&lt;&gt;"",W114&lt;&gt;""),V114+W114,"")</x:f>
      </x:c>
      <x:c r="Y114" s="9">
        <x:f>IF(AND(X114&lt;&gt;"",T114&lt;&gt;""),X114/T114,"")</x:f>
      </x:c>
    </x:row>
    <x:row r="115">
      <x:c r="L115" s="7" t="n"/>
      <x:c r="M115" s="7" t="n"/>
      <x:c r="N115" s="7" t="n"/>
      <x:c r="O115">
        <x:f>IF(AND(N115&lt;&gt;"",L115&lt;&gt;""),N115-L115,"")</x:f>
      </x:c>
      <x:c r="P115">
        <x:f>IF(AND(N115&lt;&gt;"",M115&lt;&gt;""),IF(N115&lt;=M115,"Yes","No"),"")</x:f>
      </x:c>
      <x:c r="S115" s="8" t="n"/>
      <x:c r="T115">
        <x:f>IF(AND(G115&lt;&gt;"",S115&lt;&gt;""),ROUNDUP(G115*S115,0),"")</x:f>
      </x:c>
      <x:c r="X115">
        <x:f>IF(OR(V115&lt;&gt;"",W115&lt;&gt;""),V115+W115,"")</x:f>
      </x:c>
      <x:c r="Y115" s="9">
        <x:f>IF(AND(X115&lt;&gt;"",T115&lt;&gt;""),X115/T115,"")</x:f>
      </x:c>
    </x:row>
    <x:row r="116">
      <x:c r="L116" s="7" t="n"/>
      <x:c r="M116" s="7" t="n"/>
      <x:c r="N116" s="7" t="n"/>
      <x:c r="O116">
        <x:f>IF(AND(N116&lt;&gt;"",L116&lt;&gt;""),N116-L116,"")</x:f>
      </x:c>
      <x:c r="P116">
        <x:f>IF(AND(N116&lt;&gt;"",M116&lt;&gt;""),IF(N116&lt;=M116,"Yes","No"),"")</x:f>
      </x:c>
      <x:c r="S116" s="8" t="n"/>
      <x:c r="T116">
        <x:f>IF(AND(G116&lt;&gt;"",S116&lt;&gt;""),ROUNDUP(G116*S116,0),"")</x:f>
      </x:c>
      <x:c r="X116">
        <x:f>IF(OR(V116&lt;&gt;"",W116&lt;&gt;""),V116+W116,"")</x:f>
      </x:c>
      <x:c r="Y116" s="9">
        <x:f>IF(AND(X116&lt;&gt;"",T116&lt;&gt;""),X116/T116,"")</x:f>
      </x:c>
    </x:row>
    <x:row r="117">
      <x:c r="L117" s="7" t="n"/>
      <x:c r="M117" s="7" t="n"/>
      <x:c r="N117" s="7" t="n"/>
      <x:c r="O117">
        <x:f>IF(AND(N117&lt;&gt;"",L117&lt;&gt;""),N117-L117,"")</x:f>
      </x:c>
      <x:c r="P117">
        <x:f>IF(AND(N117&lt;&gt;"",M117&lt;&gt;""),IF(N117&lt;=M117,"Yes","No"),"")</x:f>
      </x:c>
      <x:c r="S117" s="8" t="n"/>
      <x:c r="T117">
        <x:f>IF(AND(G117&lt;&gt;"",S117&lt;&gt;""),ROUNDUP(G117*S117,0),"")</x:f>
      </x:c>
      <x:c r="X117">
        <x:f>IF(OR(V117&lt;&gt;"",W117&lt;&gt;""),V117+W117,"")</x:f>
      </x:c>
      <x:c r="Y117" s="9">
        <x:f>IF(AND(X117&lt;&gt;"",T117&lt;&gt;""),X117/T117,"")</x:f>
      </x:c>
    </x:row>
    <x:row r="118">
      <x:c r="L118" s="7" t="n"/>
      <x:c r="M118" s="7" t="n"/>
      <x:c r="N118" s="7" t="n"/>
      <x:c r="O118">
        <x:f>IF(AND(N118&lt;&gt;"",L118&lt;&gt;""),N118-L118,"")</x:f>
      </x:c>
      <x:c r="P118">
        <x:f>IF(AND(N118&lt;&gt;"",M118&lt;&gt;""),IF(N118&lt;=M118,"Yes","No"),"")</x:f>
      </x:c>
      <x:c r="S118" s="8" t="n"/>
      <x:c r="T118">
        <x:f>IF(AND(G118&lt;&gt;"",S118&lt;&gt;""),ROUNDUP(G118*S118,0),"")</x:f>
      </x:c>
      <x:c r="X118">
        <x:f>IF(OR(V118&lt;&gt;"",W118&lt;&gt;""),V118+W118,"")</x:f>
      </x:c>
      <x:c r="Y118" s="9">
        <x:f>IF(AND(X118&lt;&gt;"",T118&lt;&gt;""),X118/T118,"")</x:f>
      </x:c>
    </x:row>
    <x:row r="119">
      <x:c r="L119" s="7" t="n"/>
      <x:c r="M119" s="7" t="n"/>
      <x:c r="N119" s="7" t="n"/>
      <x:c r="O119">
        <x:f>IF(AND(N119&lt;&gt;"",L119&lt;&gt;""),N119-L119,"")</x:f>
      </x:c>
      <x:c r="P119">
        <x:f>IF(AND(N119&lt;&gt;"",M119&lt;&gt;""),IF(N119&lt;=M119,"Yes","No"),"")</x:f>
      </x:c>
      <x:c r="S119" s="8" t="n"/>
      <x:c r="T119">
        <x:f>IF(AND(G119&lt;&gt;"",S119&lt;&gt;""),ROUNDUP(G119*S119,0),"")</x:f>
      </x:c>
      <x:c r="X119">
        <x:f>IF(OR(V119&lt;&gt;"",W119&lt;&gt;""),V119+W119,"")</x:f>
      </x:c>
      <x:c r="Y119" s="9">
        <x:f>IF(AND(X119&lt;&gt;"",T119&lt;&gt;""),X119/T119,"")</x:f>
      </x:c>
    </x:row>
    <x:row r="120">
      <x:c r="L120" s="7" t="n"/>
      <x:c r="M120" s="7" t="n"/>
      <x:c r="N120" s="7" t="n"/>
      <x:c r="O120">
        <x:f>IF(AND(N120&lt;&gt;"",L120&lt;&gt;""),N120-L120,"")</x:f>
      </x:c>
      <x:c r="P120">
        <x:f>IF(AND(N120&lt;&gt;"",M120&lt;&gt;""),IF(N120&lt;=M120,"Yes","No"),"")</x:f>
      </x:c>
      <x:c r="S120" s="8" t="n"/>
      <x:c r="T120">
        <x:f>IF(AND(G120&lt;&gt;"",S120&lt;&gt;""),ROUNDUP(G120*S120,0),"")</x:f>
      </x:c>
      <x:c r="X120">
        <x:f>IF(OR(V120&lt;&gt;"",W120&lt;&gt;""),V120+W120,"")</x:f>
      </x:c>
      <x:c r="Y120" s="9">
        <x:f>IF(AND(X120&lt;&gt;"",T120&lt;&gt;""),X120/T120,"")</x:f>
      </x:c>
    </x:row>
    <x:row r="121">
      <x:c r="L121" s="7" t="n"/>
      <x:c r="M121" s="7" t="n"/>
      <x:c r="N121" s="7" t="n"/>
      <x:c r="O121">
        <x:f>IF(AND(N121&lt;&gt;"",L121&lt;&gt;""),N121-L121,"")</x:f>
      </x:c>
      <x:c r="P121">
        <x:f>IF(AND(N121&lt;&gt;"",M121&lt;&gt;""),IF(N121&lt;=M121,"Yes","No"),"")</x:f>
      </x:c>
      <x:c r="S121" s="8" t="n"/>
      <x:c r="T121">
        <x:f>IF(AND(G121&lt;&gt;"",S121&lt;&gt;""),ROUNDUP(G121*S121,0),"")</x:f>
      </x:c>
      <x:c r="X121">
        <x:f>IF(OR(V121&lt;&gt;"",W121&lt;&gt;""),V121+W121,"")</x:f>
      </x:c>
      <x:c r="Y121" s="9">
        <x:f>IF(AND(X121&lt;&gt;"",T121&lt;&gt;""),X121/T121,"")</x:f>
      </x:c>
    </x:row>
    <x:row r="122">
      <x:c r="L122" s="7" t="n"/>
      <x:c r="M122" s="7" t="n"/>
      <x:c r="N122" s="7" t="n"/>
      <x:c r="O122">
        <x:f>IF(AND(N122&lt;&gt;"",L122&lt;&gt;""),N122-L122,"")</x:f>
      </x:c>
      <x:c r="P122">
        <x:f>IF(AND(N122&lt;&gt;"",M122&lt;&gt;""),IF(N122&lt;=M122,"Yes","No"),"")</x:f>
      </x:c>
      <x:c r="S122" s="8" t="n"/>
      <x:c r="T122">
        <x:f>IF(AND(G122&lt;&gt;"",S122&lt;&gt;""),ROUNDUP(G122*S122,0),"")</x:f>
      </x:c>
      <x:c r="X122">
        <x:f>IF(OR(V122&lt;&gt;"",W122&lt;&gt;""),V122+W122,"")</x:f>
      </x:c>
      <x:c r="Y122" s="9">
        <x:f>IF(AND(X122&lt;&gt;"",T122&lt;&gt;""),X122/T122,"")</x:f>
      </x:c>
    </x:row>
    <x:row r="123">
      <x:c r="L123" s="7" t="n"/>
      <x:c r="M123" s="7" t="n"/>
      <x:c r="N123" s="7" t="n"/>
      <x:c r="O123">
        <x:f>IF(AND(N123&lt;&gt;"",L123&lt;&gt;""),N123-L123,"")</x:f>
      </x:c>
      <x:c r="P123">
        <x:f>IF(AND(N123&lt;&gt;"",M123&lt;&gt;""),IF(N123&lt;=M123,"Yes","No"),"")</x:f>
      </x:c>
      <x:c r="S123" s="8" t="n"/>
      <x:c r="T123">
        <x:f>IF(AND(G123&lt;&gt;"",S123&lt;&gt;""),ROUNDUP(G123*S123,0),"")</x:f>
      </x:c>
      <x:c r="X123">
        <x:f>IF(OR(V123&lt;&gt;"",W123&lt;&gt;""),V123+W123,"")</x:f>
      </x:c>
      <x:c r="Y123" s="9">
        <x:f>IF(AND(X123&lt;&gt;"",T123&lt;&gt;""),X123/T123,"")</x:f>
      </x:c>
    </x:row>
    <x:row r="124">
      <x:c r="L124" s="7" t="n"/>
      <x:c r="M124" s="7" t="n"/>
      <x:c r="N124" s="7" t="n"/>
      <x:c r="O124">
        <x:f>IF(AND(N124&lt;&gt;"",L124&lt;&gt;""),N124-L124,"")</x:f>
      </x:c>
      <x:c r="P124">
        <x:f>IF(AND(N124&lt;&gt;"",M124&lt;&gt;""),IF(N124&lt;=M124,"Yes","No"),"")</x:f>
      </x:c>
      <x:c r="S124" s="8" t="n"/>
      <x:c r="T124">
        <x:f>IF(AND(G124&lt;&gt;"",S124&lt;&gt;""),ROUNDUP(G124*S124,0),"")</x:f>
      </x:c>
      <x:c r="X124">
        <x:f>IF(OR(V124&lt;&gt;"",W124&lt;&gt;""),V124+W124,"")</x:f>
      </x:c>
      <x:c r="Y124" s="9">
        <x:f>IF(AND(X124&lt;&gt;"",T124&lt;&gt;""),X124/T124,"")</x:f>
      </x:c>
    </x:row>
    <x:row r="125">
      <x:c r="L125" s="7" t="n"/>
      <x:c r="M125" s="7" t="n"/>
      <x:c r="N125" s="7" t="n"/>
      <x:c r="O125">
        <x:f>IF(AND(N125&lt;&gt;"",L125&lt;&gt;""),N125-L125,"")</x:f>
      </x:c>
      <x:c r="P125">
        <x:f>IF(AND(N125&lt;&gt;"",M125&lt;&gt;""),IF(N125&lt;=M125,"Yes","No"),"")</x:f>
      </x:c>
      <x:c r="S125" s="8" t="n"/>
      <x:c r="T125">
        <x:f>IF(AND(G125&lt;&gt;"",S125&lt;&gt;""),ROUNDUP(G125*S125,0),"")</x:f>
      </x:c>
      <x:c r="X125">
        <x:f>IF(OR(V125&lt;&gt;"",W125&lt;&gt;""),V125+W125,"")</x:f>
      </x:c>
      <x:c r="Y125" s="9">
        <x:f>IF(AND(X125&lt;&gt;"",T125&lt;&gt;""),X125/T125,"")</x:f>
      </x:c>
    </x:row>
    <x:row r="126">
      <x:c r="L126" s="7" t="n"/>
      <x:c r="M126" s="7" t="n"/>
      <x:c r="N126" s="7" t="n"/>
      <x:c r="O126">
        <x:f>IF(AND(N126&lt;&gt;"",L126&lt;&gt;""),N126-L126,"")</x:f>
      </x:c>
      <x:c r="P126">
        <x:f>IF(AND(N126&lt;&gt;"",M126&lt;&gt;""),IF(N126&lt;=M126,"Yes","No"),"")</x:f>
      </x:c>
      <x:c r="S126" s="8" t="n"/>
      <x:c r="T126">
        <x:f>IF(AND(G126&lt;&gt;"",S126&lt;&gt;""),ROUNDUP(G126*S126,0),"")</x:f>
      </x:c>
      <x:c r="X126">
        <x:f>IF(OR(V126&lt;&gt;"",W126&lt;&gt;""),V126+W126,"")</x:f>
      </x:c>
      <x:c r="Y126" s="9">
        <x:f>IF(AND(X126&lt;&gt;"",T126&lt;&gt;""),X126/T126,"")</x:f>
      </x:c>
    </x:row>
    <x:row r="127">
      <x:c r="L127" s="7" t="n"/>
      <x:c r="M127" s="7" t="n"/>
      <x:c r="N127" s="7" t="n"/>
      <x:c r="O127">
        <x:f>IF(AND(N127&lt;&gt;"",L127&lt;&gt;""),N127-L127,"")</x:f>
      </x:c>
      <x:c r="P127">
        <x:f>IF(AND(N127&lt;&gt;"",M127&lt;&gt;""),IF(N127&lt;=M127,"Yes","No"),"")</x:f>
      </x:c>
      <x:c r="S127" s="8" t="n"/>
      <x:c r="T127">
        <x:f>IF(AND(G127&lt;&gt;"",S127&lt;&gt;""),ROUNDUP(G127*S127,0),"")</x:f>
      </x:c>
      <x:c r="X127">
        <x:f>IF(OR(V127&lt;&gt;"",W127&lt;&gt;""),V127+W127,"")</x:f>
      </x:c>
      <x:c r="Y127" s="9">
        <x:f>IF(AND(X127&lt;&gt;"",T127&lt;&gt;""),X127/T127,"")</x:f>
      </x:c>
    </x:row>
    <x:row r="128">
      <x:c r="L128" s="7" t="n"/>
      <x:c r="M128" s="7" t="n"/>
      <x:c r="N128" s="7" t="n"/>
      <x:c r="O128">
        <x:f>IF(AND(N128&lt;&gt;"",L128&lt;&gt;""),N128-L128,"")</x:f>
      </x:c>
      <x:c r="P128">
        <x:f>IF(AND(N128&lt;&gt;"",M128&lt;&gt;""),IF(N128&lt;=M128,"Yes","No"),"")</x:f>
      </x:c>
      <x:c r="S128" s="8" t="n"/>
      <x:c r="T128">
        <x:f>IF(AND(G128&lt;&gt;"",S128&lt;&gt;""),ROUNDUP(G128*S128,0),"")</x:f>
      </x:c>
      <x:c r="X128">
        <x:f>IF(OR(V128&lt;&gt;"",W128&lt;&gt;""),V128+W128,"")</x:f>
      </x:c>
      <x:c r="Y128" s="9">
        <x:f>IF(AND(X128&lt;&gt;"",T128&lt;&gt;""),X128/T128,"")</x:f>
      </x:c>
    </x:row>
    <x:row r="129">
      <x:c r="L129" s="7" t="n"/>
      <x:c r="M129" s="7" t="n"/>
      <x:c r="N129" s="7" t="n"/>
      <x:c r="O129">
        <x:f>IF(AND(N129&lt;&gt;"",L129&lt;&gt;""),N129-L129,"")</x:f>
      </x:c>
      <x:c r="P129">
        <x:f>IF(AND(N129&lt;&gt;"",M129&lt;&gt;""),IF(N129&lt;=M129,"Yes","No"),"")</x:f>
      </x:c>
      <x:c r="S129" s="8" t="n"/>
      <x:c r="T129">
        <x:f>IF(AND(G129&lt;&gt;"",S129&lt;&gt;""),ROUNDUP(G129*S129,0),"")</x:f>
      </x:c>
      <x:c r="X129">
        <x:f>IF(OR(V129&lt;&gt;"",W129&lt;&gt;""),V129+W129,"")</x:f>
      </x:c>
      <x:c r="Y129" s="9">
        <x:f>IF(AND(X129&lt;&gt;"",T129&lt;&gt;""),X129/T129,"")</x:f>
      </x:c>
    </x:row>
    <x:row r="130">
      <x:c r="L130" s="7" t="n"/>
      <x:c r="M130" s="7" t="n"/>
      <x:c r="N130" s="7" t="n"/>
      <x:c r="O130">
        <x:f>IF(AND(N130&lt;&gt;"",L130&lt;&gt;""),N130-L130,"")</x:f>
      </x:c>
      <x:c r="P130">
        <x:f>IF(AND(N130&lt;&gt;"",M130&lt;&gt;""),IF(N130&lt;=M130,"Yes","No"),"")</x:f>
      </x:c>
      <x:c r="S130" s="8" t="n"/>
      <x:c r="T130">
        <x:f>IF(AND(G130&lt;&gt;"",S130&lt;&gt;""),ROUNDUP(G130*S130,0),"")</x:f>
      </x:c>
      <x:c r="X130">
        <x:f>IF(OR(V130&lt;&gt;"",W130&lt;&gt;""),V130+W130,"")</x:f>
      </x:c>
      <x:c r="Y130" s="9">
        <x:f>IF(AND(X130&lt;&gt;"",T130&lt;&gt;""),X130/T130,"")</x:f>
      </x:c>
    </x:row>
    <x:row r="131">
      <x:c r="L131" s="7" t="n"/>
      <x:c r="M131" s="7" t="n"/>
      <x:c r="N131" s="7" t="n"/>
      <x:c r="O131">
        <x:f>IF(AND(N131&lt;&gt;"",L131&lt;&gt;""),N131-L131,"")</x:f>
      </x:c>
      <x:c r="P131">
        <x:f>IF(AND(N131&lt;&gt;"",M131&lt;&gt;""),IF(N131&lt;=M131,"Yes","No"),"")</x:f>
      </x:c>
      <x:c r="S131" s="8" t="n"/>
      <x:c r="T131">
        <x:f>IF(AND(G131&lt;&gt;"",S131&lt;&gt;""),ROUNDUP(G131*S131,0),"")</x:f>
      </x:c>
      <x:c r="X131">
        <x:f>IF(OR(V131&lt;&gt;"",W131&lt;&gt;""),V131+W131,"")</x:f>
      </x:c>
      <x:c r="Y131" s="9">
        <x:f>IF(AND(X131&lt;&gt;"",T131&lt;&gt;""),X131/T131,"")</x:f>
      </x:c>
    </x:row>
    <x:row r="132">
      <x:c r="L132" s="7" t="n"/>
      <x:c r="M132" s="7" t="n"/>
      <x:c r="N132" s="7" t="n"/>
      <x:c r="O132">
        <x:f>IF(AND(N132&lt;&gt;"",L132&lt;&gt;""),N132-L132,"")</x:f>
      </x:c>
      <x:c r="P132">
        <x:f>IF(AND(N132&lt;&gt;"",M132&lt;&gt;""),IF(N132&lt;=M132,"Yes","No"),"")</x:f>
      </x:c>
      <x:c r="S132" s="8" t="n"/>
      <x:c r="T132">
        <x:f>IF(AND(G132&lt;&gt;"",S132&lt;&gt;""),ROUNDUP(G132*S132,0),"")</x:f>
      </x:c>
      <x:c r="X132">
        <x:f>IF(OR(V132&lt;&gt;"",W132&lt;&gt;""),V132+W132,"")</x:f>
      </x:c>
      <x:c r="Y132" s="9">
        <x:f>IF(AND(X132&lt;&gt;"",T132&lt;&gt;""),X132/T132,"")</x:f>
      </x:c>
    </x:row>
    <x:row r="133">
      <x:c r="L133" s="7" t="n"/>
      <x:c r="M133" s="7" t="n"/>
      <x:c r="N133" s="7" t="n"/>
      <x:c r="O133">
        <x:f>IF(AND(N133&lt;&gt;"",L133&lt;&gt;""),N133-L133,"")</x:f>
      </x:c>
      <x:c r="P133">
        <x:f>IF(AND(N133&lt;&gt;"",M133&lt;&gt;""),IF(N133&lt;=M133,"Yes","No"),"")</x:f>
      </x:c>
      <x:c r="S133" s="8" t="n"/>
      <x:c r="T133">
        <x:f>IF(AND(G133&lt;&gt;"",S133&lt;&gt;""),ROUNDUP(G133*S133,0),"")</x:f>
      </x:c>
      <x:c r="X133">
        <x:f>IF(OR(V133&lt;&gt;"",W133&lt;&gt;""),V133+W133,"")</x:f>
      </x:c>
      <x:c r="Y133" s="9">
        <x:f>IF(AND(X133&lt;&gt;"",T133&lt;&gt;""),X133/T133,"")</x:f>
      </x:c>
    </x:row>
    <x:row r="134">
      <x:c r="L134" s="7" t="n"/>
      <x:c r="M134" s="7" t="n"/>
      <x:c r="N134" s="7" t="n"/>
      <x:c r="O134">
        <x:f>IF(AND(N134&lt;&gt;"",L134&lt;&gt;""),N134-L134,"")</x:f>
      </x:c>
      <x:c r="P134">
        <x:f>IF(AND(N134&lt;&gt;"",M134&lt;&gt;""),IF(N134&lt;=M134,"Yes","No"),"")</x:f>
      </x:c>
      <x:c r="S134" s="8" t="n"/>
      <x:c r="T134">
        <x:f>IF(AND(G134&lt;&gt;"",S134&lt;&gt;""),ROUNDUP(G134*S134,0),"")</x:f>
      </x:c>
      <x:c r="X134">
        <x:f>IF(OR(V134&lt;&gt;"",W134&lt;&gt;""),V134+W134,"")</x:f>
      </x:c>
      <x:c r="Y134" s="9">
        <x:f>IF(AND(X134&lt;&gt;"",T134&lt;&gt;""),X134/T134,"")</x:f>
      </x:c>
    </x:row>
    <x:row r="135">
      <x:c r="L135" s="7" t="n"/>
      <x:c r="M135" s="7" t="n"/>
      <x:c r="N135" s="7" t="n"/>
      <x:c r="O135">
        <x:f>IF(AND(N135&lt;&gt;"",L135&lt;&gt;""),N135-L135,"")</x:f>
      </x:c>
      <x:c r="P135">
        <x:f>IF(AND(N135&lt;&gt;"",M135&lt;&gt;""),IF(N135&lt;=M135,"Yes","No"),"")</x:f>
      </x:c>
      <x:c r="S135" s="8" t="n"/>
      <x:c r="T135">
        <x:f>IF(AND(G135&lt;&gt;"",S135&lt;&gt;""),ROUNDUP(G135*S135,0),"")</x:f>
      </x:c>
      <x:c r="X135">
        <x:f>IF(OR(V135&lt;&gt;"",W135&lt;&gt;""),V135+W135,"")</x:f>
      </x:c>
      <x:c r="Y135" s="9">
        <x:f>IF(AND(X135&lt;&gt;"",T135&lt;&gt;""),X135/T135,"")</x:f>
      </x:c>
    </x:row>
    <x:row r="136">
      <x:c r="L136" s="7" t="n"/>
      <x:c r="M136" s="7" t="n"/>
      <x:c r="N136" s="7" t="n"/>
      <x:c r="O136">
        <x:f>IF(AND(N136&lt;&gt;"",L136&lt;&gt;""),N136-L136,"")</x:f>
      </x:c>
      <x:c r="P136">
        <x:f>IF(AND(N136&lt;&gt;"",M136&lt;&gt;""),IF(N136&lt;=M136,"Yes","No"),"")</x:f>
      </x:c>
      <x:c r="S136" s="8" t="n"/>
      <x:c r="T136">
        <x:f>IF(AND(G136&lt;&gt;"",S136&lt;&gt;""),ROUNDUP(G136*S136,0),"")</x:f>
      </x:c>
      <x:c r="X136">
        <x:f>IF(OR(V136&lt;&gt;"",W136&lt;&gt;""),V136+W136,"")</x:f>
      </x:c>
      <x:c r="Y136" s="9">
        <x:f>IF(AND(X136&lt;&gt;"",T136&lt;&gt;""),X136/T136,"")</x:f>
      </x:c>
    </x:row>
    <x:row r="137">
      <x:c r="L137" s="7" t="n"/>
      <x:c r="M137" s="7" t="n"/>
      <x:c r="N137" s="7" t="n"/>
      <x:c r="O137">
        <x:f>IF(AND(N137&lt;&gt;"",L137&lt;&gt;""),N137-L137,"")</x:f>
      </x:c>
      <x:c r="P137">
        <x:f>IF(AND(N137&lt;&gt;"",M137&lt;&gt;""),IF(N137&lt;=M137,"Yes","No"),"")</x:f>
      </x:c>
      <x:c r="S137" s="8" t="n"/>
      <x:c r="T137">
        <x:f>IF(AND(G137&lt;&gt;"",S137&lt;&gt;""),ROUNDUP(G137*S137,0),"")</x:f>
      </x:c>
      <x:c r="X137">
        <x:f>IF(OR(V137&lt;&gt;"",W137&lt;&gt;""),V137+W137,"")</x:f>
      </x:c>
      <x:c r="Y137" s="9">
        <x:f>IF(AND(X137&lt;&gt;"",T137&lt;&gt;""),X137/T137,"")</x:f>
      </x:c>
    </x:row>
    <x:row r="138">
      <x:c r="L138" s="7" t="n"/>
      <x:c r="M138" s="7" t="n"/>
      <x:c r="N138" s="7" t="n"/>
      <x:c r="O138">
        <x:f>IF(AND(N138&lt;&gt;"",L138&lt;&gt;""),N138-L138,"")</x:f>
      </x:c>
      <x:c r="P138">
        <x:f>IF(AND(N138&lt;&gt;"",M138&lt;&gt;""),IF(N138&lt;=M138,"Yes","No"),"")</x:f>
      </x:c>
      <x:c r="S138" s="8" t="n"/>
      <x:c r="T138">
        <x:f>IF(AND(G138&lt;&gt;"",S138&lt;&gt;""),ROUNDUP(G138*S138,0),"")</x:f>
      </x:c>
      <x:c r="X138">
        <x:f>IF(OR(V138&lt;&gt;"",W138&lt;&gt;""),V138+W138,"")</x:f>
      </x:c>
      <x:c r="Y138" s="9">
        <x:f>IF(AND(X138&lt;&gt;"",T138&lt;&gt;""),X138/T138,"")</x:f>
      </x:c>
    </x:row>
    <x:row r="139">
      <x:c r="L139" s="7" t="n"/>
      <x:c r="M139" s="7" t="n"/>
      <x:c r="N139" s="7" t="n"/>
      <x:c r="O139">
        <x:f>IF(AND(N139&lt;&gt;"",L139&lt;&gt;""),N139-L139,"")</x:f>
      </x:c>
      <x:c r="P139">
        <x:f>IF(AND(N139&lt;&gt;"",M139&lt;&gt;""),IF(N139&lt;=M139,"Yes","No"),"")</x:f>
      </x:c>
      <x:c r="S139" s="8" t="n"/>
      <x:c r="T139">
        <x:f>IF(AND(G139&lt;&gt;"",S139&lt;&gt;""),ROUNDUP(G139*S139,0),"")</x:f>
      </x:c>
      <x:c r="X139">
        <x:f>IF(OR(V139&lt;&gt;"",W139&lt;&gt;""),V139+W139,"")</x:f>
      </x:c>
      <x:c r="Y139" s="9">
        <x:f>IF(AND(X139&lt;&gt;"",T139&lt;&gt;""),X139/T139,"")</x:f>
      </x:c>
    </x:row>
    <x:row r="140">
      <x:c r="L140" s="7" t="n"/>
      <x:c r="M140" s="7" t="n"/>
      <x:c r="N140" s="7" t="n"/>
      <x:c r="O140">
        <x:f>IF(AND(N140&lt;&gt;"",L140&lt;&gt;""),N140-L140,"")</x:f>
      </x:c>
      <x:c r="P140">
        <x:f>IF(AND(N140&lt;&gt;"",M140&lt;&gt;""),IF(N140&lt;=M140,"Yes","No"),"")</x:f>
      </x:c>
      <x:c r="S140" s="8" t="n"/>
      <x:c r="T140">
        <x:f>IF(AND(G140&lt;&gt;"",S140&lt;&gt;""),ROUNDUP(G140*S140,0),"")</x:f>
      </x:c>
      <x:c r="X140">
        <x:f>IF(OR(V140&lt;&gt;"",W140&lt;&gt;""),V140+W140,"")</x:f>
      </x:c>
      <x:c r="Y140" s="9">
        <x:f>IF(AND(X140&lt;&gt;"",T140&lt;&gt;""),X140/T140,"")</x:f>
      </x:c>
    </x:row>
    <x:row r="141">
      <x:c r="L141" s="7" t="n"/>
      <x:c r="M141" s="7" t="n"/>
      <x:c r="N141" s="7" t="n"/>
      <x:c r="O141">
        <x:f>IF(AND(N141&lt;&gt;"",L141&lt;&gt;""),N141-L141,"")</x:f>
      </x:c>
      <x:c r="P141">
        <x:f>IF(AND(N141&lt;&gt;"",M141&lt;&gt;""),IF(N141&lt;=M141,"Yes","No"),"")</x:f>
      </x:c>
      <x:c r="S141" s="8" t="n"/>
      <x:c r="T141">
        <x:f>IF(AND(G141&lt;&gt;"",S141&lt;&gt;""),ROUNDUP(G141*S141,0),"")</x:f>
      </x:c>
      <x:c r="X141">
        <x:f>IF(OR(V141&lt;&gt;"",W141&lt;&gt;""),V141+W141,"")</x:f>
      </x:c>
      <x:c r="Y141" s="9">
        <x:f>IF(AND(X141&lt;&gt;"",T141&lt;&gt;""),X141/T141,"")</x:f>
      </x:c>
    </x:row>
    <x:row r="142">
      <x:c r="L142" s="7" t="n"/>
      <x:c r="M142" s="7" t="n"/>
      <x:c r="N142" s="7" t="n"/>
      <x:c r="O142">
        <x:f>IF(AND(N142&lt;&gt;"",L142&lt;&gt;""),N142-L142,"")</x:f>
      </x:c>
      <x:c r="P142">
        <x:f>IF(AND(N142&lt;&gt;"",M142&lt;&gt;""),IF(N142&lt;=M142,"Yes","No"),"")</x:f>
      </x:c>
      <x:c r="S142" s="8" t="n"/>
      <x:c r="T142">
        <x:f>IF(AND(G142&lt;&gt;"",S142&lt;&gt;""),ROUNDUP(G142*S142,0),"")</x:f>
      </x:c>
      <x:c r="X142">
        <x:f>IF(OR(V142&lt;&gt;"",W142&lt;&gt;""),V142+W142,"")</x:f>
      </x:c>
      <x:c r="Y142" s="9">
        <x:f>IF(AND(X142&lt;&gt;"",T142&lt;&gt;""),X142/T142,"")</x:f>
      </x:c>
    </x:row>
    <x:row r="143">
      <x:c r="L143" s="7" t="n"/>
      <x:c r="M143" s="7" t="n"/>
      <x:c r="N143" s="7" t="n"/>
      <x:c r="O143">
        <x:f>IF(AND(N143&lt;&gt;"",L143&lt;&gt;""),N143-L143,"")</x:f>
      </x:c>
      <x:c r="P143">
        <x:f>IF(AND(N143&lt;&gt;"",M143&lt;&gt;""),IF(N143&lt;=M143,"Yes","No"),"")</x:f>
      </x:c>
      <x:c r="S143" s="8" t="n"/>
      <x:c r="T143">
        <x:f>IF(AND(G143&lt;&gt;"",S143&lt;&gt;""),ROUNDUP(G143*S143,0),"")</x:f>
      </x:c>
      <x:c r="X143">
        <x:f>IF(OR(V143&lt;&gt;"",W143&lt;&gt;""),V143+W143,"")</x:f>
      </x:c>
      <x:c r="Y143" s="9">
        <x:f>IF(AND(X143&lt;&gt;"",T143&lt;&gt;""),X143/T143,"")</x:f>
      </x:c>
    </x:row>
    <x:row r="144">
      <x:c r="L144" s="7" t="n"/>
      <x:c r="M144" s="7" t="n"/>
      <x:c r="N144" s="7" t="n"/>
      <x:c r="O144">
        <x:f>IF(AND(N144&lt;&gt;"",L144&lt;&gt;""),N144-L144,"")</x:f>
      </x:c>
      <x:c r="P144">
        <x:f>IF(AND(N144&lt;&gt;"",M144&lt;&gt;""),IF(N144&lt;=M144,"Yes","No"),"")</x:f>
      </x:c>
      <x:c r="S144" s="8" t="n"/>
      <x:c r="T144">
        <x:f>IF(AND(G144&lt;&gt;"",S144&lt;&gt;""),ROUNDUP(G144*S144,0),"")</x:f>
      </x:c>
      <x:c r="X144">
        <x:f>IF(OR(V144&lt;&gt;"",W144&lt;&gt;""),V144+W144,"")</x:f>
      </x:c>
      <x:c r="Y144" s="9">
        <x:f>IF(AND(X144&lt;&gt;"",T144&lt;&gt;""),X144/T144,"")</x:f>
      </x:c>
    </x:row>
    <x:row r="145">
      <x:c r="L145" s="7" t="n"/>
      <x:c r="M145" s="7" t="n"/>
      <x:c r="N145" s="7" t="n"/>
      <x:c r="O145">
        <x:f>IF(AND(N145&lt;&gt;"",L145&lt;&gt;""),N145-L145,"")</x:f>
      </x:c>
      <x:c r="P145">
        <x:f>IF(AND(N145&lt;&gt;"",M145&lt;&gt;""),IF(N145&lt;=M145,"Yes","No"),"")</x:f>
      </x:c>
      <x:c r="S145" s="8" t="n"/>
      <x:c r="T145">
        <x:f>IF(AND(G145&lt;&gt;"",S145&lt;&gt;""),ROUNDUP(G145*S145,0),"")</x:f>
      </x:c>
      <x:c r="X145">
        <x:f>IF(OR(V145&lt;&gt;"",W145&lt;&gt;""),V145+W145,"")</x:f>
      </x:c>
      <x:c r="Y145" s="9">
        <x:f>IF(AND(X145&lt;&gt;"",T145&lt;&gt;""),X145/T145,"")</x:f>
      </x:c>
    </x:row>
    <x:row r="146">
      <x:c r="L146" s="7" t="n"/>
      <x:c r="M146" s="7" t="n"/>
      <x:c r="N146" s="7" t="n"/>
      <x:c r="O146">
        <x:f>IF(AND(N146&lt;&gt;"",L146&lt;&gt;""),N146-L146,"")</x:f>
      </x:c>
      <x:c r="P146">
        <x:f>IF(AND(N146&lt;&gt;"",M146&lt;&gt;""),IF(N146&lt;=M146,"Yes","No"),"")</x:f>
      </x:c>
      <x:c r="S146" s="8" t="n"/>
      <x:c r="T146">
        <x:f>IF(AND(G146&lt;&gt;"",S146&lt;&gt;""),ROUNDUP(G146*S146,0),"")</x:f>
      </x:c>
      <x:c r="X146">
        <x:f>IF(OR(V146&lt;&gt;"",W146&lt;&gt;""),V146+W146,"")</x:f>
      </x:c>
      <x:c r="Y146" s="9">
        <x:f>IF(AND(X146&lt;&gt;"",T146&lt;&gt;""),X146/T146,"")</x:f>
      </x:c>
    </x:row>
    <x:row r="147">
      <x:c r="L147" s="7" t="n"/>
      <x:c r="M147" s="7" t="n"/>
      <x:c r="N147" s="7" t="n"/>
      <x:c r="O147">
        <x:f>IF(AND(N147&lt;&gt;"",L147&lt;&gt;""),N147-L147,"")</x:f>
      </x:c>
      <x:c r="P147">
        <x:f>IF(AND(N147&lt;&gt;"",M147&lt;&gt;""),IF(N147&lt;=M147,"Yes","No"),"")</x:f>
      </x:c>
      <x:c r="S147" s="8" t="n"/>
      <x:c r="T147">
        <x:f>IF(AND(G147&lt;&gt;"",S147&lt;&gt;""),ROUNDUP(G147*S147,0),"")</x:f>
      </x:c>
      <x:c r="X147">
        <x:f>IF(OR(V147&lt;&gt;"",W147&lt;&gt;""),V147+W147,"")</x:f>
      </x:c>
      <x:c r="Y147" s="9">
        <x:f>IF(AND(X147&lt;&gt;"",T147&lt;&gt;""),X147/T147,"")</x:f>
      </x:c>
    </x:row>
    <x:row r="148">
      <x:c r="L148" s="7" t="n"/>
      <x:c r="M148" s="7" t="n"/>
      <x:c r="N148" s="7" t="n"/>
      <x:c r="O148">
        <x:f>IF(AND(N148&lt;&gt;"",L148&lt;&gt;""),N148-L148,"")</x:f>
      </x:c>
      <x:c r="P148">
        <x:f>IF(AND(N148&lt;&gt;"",M148&lt;&gt;""),IF(N148&lt;=M148,"Yes","No"),"")</x:f>
      </x:c>
      <x:c r="S148" s="8" t="n"/>
      <x:c r="T148">
        <x:f>IF(AND(G148&lt;&gt;"",S148&lt;&gt;""),ROUNDUP(G148*S148,0),"")</x:f>
      </x:c>
      <x:c r="X148">
        <x:f>IF(OR(V148&lt;&gt;"",W148&lt;&gt;""),V148+W148,"")</x:f>
      </x:c>
      <x:c r="Y148" s="9">
        <x:f>IF(AND(X148&lt;&gt;"",T148&lt;&gt;""),X148/T148,"")</x:f>
      </x:c>
    </x:row>
    <x:row r="149">
      <x:c r="L149" s="7" t="n"/>
      <x:c r="M149" s="7" t="n"/>
      <x:c r="N149" s="7" t="n"/>
      <x:c r="O149">
        <x:f>IF(AND(N149&lt;&gt;"",L149&lt;&gt;""),N149-L149,"")</x:f>
      </x:c>
      <x:c r="P149">
        <x:f>IF(AND(N149&lt;&gt;"",M149&lt;&gt;""),IF(N149&lt;=M149,"Yes","No"),"")</x:f>
      </x:c>
      <x:c r="S149" s="8" t="n"/>
      <x:c r="T149">
        <x:f>IF(AND(G149&lt;&gt;"",S149&lt;&gt;""),ROUNDUP(G149*S149,0),"")</x:f>
      </x:c>
      <x:c r="X149">
        <x:f>IF(OR(V149&lt;&gt;"",W149&lt;&gt;""),V149+W149,"")</x:f>
      </x:c>
      <x:c r="Y149" s="9">
        <x:f>IF(AND(X149&lt;&gt;"",T149&lt;&gt;""),X149/T149,"")</x:f>
      </x:c>
    </x:row>
    <x:row r="150">
      <x:c r="L150" s="7" t="n"/>
      <x:c r="M150" s="7" t="n"/>
      <x:c r="N150" s="7" t="n"/>
      <x:c r="O150">
        <x:f>IF(AND(N150&lt;&gt;"",L150&lt;&gt;""),N150-L150,"")</x:f>
      </x:c>
      <x:c r="P150">
        <x:f>IF(AND(N150&lt;&gt;"",M150&lt;&gt;""),IF(N150&lt;=M150,"Yes","No"),"")</x:f>
      </x:c>
      <x:c r="S150" s="8" t="n"/>
      <x:c r="T150">
        <x:f>IF(AND(G150&lt;&gt;"",S150&lt;&gt;""),ROUNDUP(G150*S150,0),"")</x:f>
      </x:c>
      <x:c r="X150">
        <x:f>IF(OR(V150&lt;&gt;"",W150&lt;&gt;""),V150+W150,"")</x:f>
      </x:c>
      <x:c r="Y150" s="9">
        <x:f>IF(AND(X150&lt;&gt;"",T150&lt;&gt;""),X150/T150,"")</x:f>
      </x:c>
    </x:row>
    <x:row r="151">
      <x:c r="L151" s="7" t="n"/>
      <x:c r="M151" s="7" t="n"/>
      <x:c r="N151" s="7" t="n"/>
      <x:c r="O151">
        <x:f>IF(AND(N151&lt;&gt;"",L151&lt;&gt;""),N151-L151,"")</x:f>
      </x:c>
      <x:c r="P151">
        <x:f>IF(AND(N151&lt;&gt;"",M151&lt;&gt;""),IF(N151&lt;=M151,"Yes","No"),"")</x:f>
      </x:c>
      <x:c r="S151" s="8" t="n"/>
      <x:c r="T151">
        <x:f>IF(AND(G151&lt;&gt;"",S151&lt;&gt;""),ROUNDUP(G151*S151,0),"")</x:f>
      </x:c>
      <x:c r="X151">
        <x:f>IF(OR(V151&lt;&gt;"",W151&lt;&gt;""),V151+W151,"")</x:f>
      </x:c>
      <x:c r="Y151" s="9">
        <x:f>IF(AND(X151&lt;&gt;"",T151&lt;&gt;""),X151/T151,"")</x:f>
      </x:c>
    </x:row>
    <x:row r="152">
      <x:c r="L152" s="7" t="n"/>
      <x:c r="M152" s="7" t="n"/>
      <x:c r="N152" s="7" t="n"/>
      <x:c r="O152">
        <x:f>IF(AND(N152&lt;&gt;"",L152&lt;&gt;""),N152-L152,"")</x:f>
      </x:c>
      <x:c r="P152">
        <x:f>IF(AND(N152&lt;&gt;"",M152&lt;&gt;""),IF(N152&lt;=M152,"Yes","No"),"")</x:f>
      </x:c>
      <x:c r="S152" s="8" t="n"/>
      <x:c r="T152">
        <x:f>IF(AND(G152&lt;&gt;"",S152&lt;&gt;""),ROUNDUP(G152*S152,0),"")</x:f>
      </x:c>
      <x:c r="X152">
        <x:f>IF(OR(V152&lt;&gt;"",W152&lt;&gt;""),V152+W152,"")</x:f>
      </x:c>
      <x:c r="Y152" s="9">
        <x:f>IF(AND(X152&lt;&gt;"",T152&lt;&gt;""),X152/T152,"")</x:f>
      </x:c>
    </x:row>
    <x:row r="153">
      <x:c r="L153" s="7" t="n"/>
      <x:c r="M153" s="7" t="n"/>
      <x:c r="N153" s="7" t="n"/>
      <x:c r="O153">
        <x:f>IF(AND(N153&lt;&gt;"",L153&lt;&gt;""),N153-L153,"")</x:f>
      </x:c>
      <x:c r="P153">
        <x:f>IF(AND(N153&lt;&gt;"",M153&lt;&gt;""),IF(N153&lt;=M153,"Yes","No"),"")</x:f>
      </x:c>
      <x:c r="S153" s="8" t="n"/>
      <x:c r="T153">
        <x:f>IF(AND(G153&lt;&gt;"",S153&lt;&gt;""),ROUNDUP(G153*S153,0),"")</x:f>
      </x:c>
      <x:c r="X153">
        <x:f>IF(OR(V153&lt;&gt;"",W153&lt;&gt;""),V153+W153,"")</x:f>
      </x:c>
      <x:c r="Y153" s="9">
        <x:f>IF(AND(X153&lt;&gt;"",T153&lt;&gt;""),X153/T153,"")</x:f>
      </x:c>
    </x:row>
    <x:row r="154">
      <x:c r="L154" s="7" t="n"/>
      <x:c r="M154" s="7" t="n"/>
      <x:c r="N154" s="7" t="n"/>
      <x:c r="O154">
        <x:f>IF(AND(N154&lt;&gt;"",L154&lt;&gt;""),N154-L154,"")</x:f>
      </x:c>
      <x:c r="P154">
        <x:f>IF(AND(N154&lt;&gt;"",M154&lt;&gt;""),IF(N154&lt;=M154,"Yes","No"),"")</x:f>
      </x:c>
      <x:c r="S154" s="8" t="n"/>
      <x:c r="T154">
        <x:f>IF(AND(G154&lt;&gt;"",S154&lt;&gt;""),ROUNDUP(G154*S154,0),"")</x:f>
      </x:c>
      <x:c r="X154">
        <x:f>IF(OR(V154&lt;&gt;"",W154&lt;&gt;""),V154+W154,"")</x:f>
      </x:c>
      <x:c r="Y154" s="9">
        <x:f>IF(AND(X154&lt;&gt;"",T154&lt;&gt;""),X154/T154,"")</x:f>
      </x:c>
    </x:row>
    <x:row r="155">
      <x:c r="L155" s="7" t="n"/>
      <x:c r="M155" s="7" t="n"/>
      <x:c r="N155" s="7" t="n"/>
      <x:c r="O155">
        <x:f>IF(AND(N155&lt;&gt;"",L155&lt;&gt;""),N155-L155,"")</x:f>
      </x:c>
      <x:c r="P155">
        <x:f>IF(AND(N155&lt;&gt;"",M155&lt;&gt;""),IF(N155&lt;=M155,"Yes","No"),"")</x:f>
      </x:c>
      <x:c r="S155" s="8" t="n"/>
      <x:c r="T155">
        <x:f>IF(AND(G155&lt;&gt;"",S155&lt;&gt;""),ROUNDUP(G155*S155,0),"")</x:f>
      </x:c>
      <x:c r="X155">
        <x:f>IF(OR(V155&lt;&gt;"",W155&lt;&gt;""),V155+W155,"")</x:f>
      </x:c>
      <x:c r="Y155" s="9">
        <x:f>IF(AND(X155&lt;&gt;"",T155&lt;&gt;""),X155/T155,"")</x:f>
      </x:c>
    </x:row>
    <x:row r="156">
      <x:c r="L156" s="7" t="n"/>
      <x:c r="M156" s="7" t="n"/>
      <x:c r="N156" s="7" t="n"/>
      <x:c r="O156">
        <x:f>IF(AND(N156&lt;&gt;"",L156&lt;&gt;""),N156-L156,"")</x:f>
      </x:c>
      <x:c r="P156">
        <x:f>IF(AND(N156&lt;&gt;"",M156&lt;&gt;""),IF(N156&lt;=M156,"Yes","No"),"")</x:f>
      </x:c>
      <x:c r="S156" s="8" t="n"/>
      <x:c r="T156">
        <x:f>IF(AND(G156&lt;&gt;"",S156&lt;&gt;""),ROUNDUP(G156*S156,0),"")</x:f>
      </x:c>
      <x:c r="X156">
        <x:f>IF(OR(V156&lt;&gt;"",W156&lt;&gt;""),V156+W156,"")</x:f>
      </x:c>
      <x:c r="Y156" s="9">
        <x:f>IF(AND(X156&lt;&gt;"",T156&lt;&gt;""),X156/T156,"")</x:f>
      </x:c>
    </x:row>
    <x:row r="157">
      <x:c r="L157" s="7" t="n"/>
      <x:c r="M157" s="7" t="n"/>
      <x:c r="N157" s="7" t="n"/>
      <x:c r="O157">
        <x:f>IF(AND(N157&lt;&gt;"",L157&lt;&gt;""),N157-L157,"")</x:f>
      </x:c>
      <x:c r="P157">
        <x:f>IF(AND(N157&lt;&gt;"",M157&lt;&gt;""),IF(N157&lt;=M157,"Yes","No"),"")</x:f>
      </x:c>
      <x:c r="S157" s="8" t="n"/>
      <x:c r="T157">
        <x:f>IF(AND(G157&lt;&gt;"",S157&lt;&gt;""),ROUNDUP(G157*S157,0),"")</x:f>
      </x:c>
      <x:c r="X157">
        <x:f>IF(OR(V157&lt;&gt;"",W157&lt;&gt;""),V157+W157,"")</x:f>
      </x:c>
      <x:c r="Y157" s="9">
        <x:f>IF(AND(X157&lt;&gt;"",T157&lt;&gt;""),X157/T157,"")</x:f>
      </x:c>
    </x:row>
    <x:row r="158">
      <x:c r="L158" s="7" t="n"/>
      <x:c r="M158" s="7" t="n"/>
      <x:c r="N158" s="7" t="n"/>
      <x:c r="O158">
        <x:f>IF(AND(N158&lt;&gt;"",L158&lt;&gt;""),N158-L158,"")</x:f>
      </x:c>
      <x:c r="P158">
        <x:f>IF(AND(N158&lt;&gt;"",M158&lt;&gt;""),IF(N158&lt;=M158,"Yes","No"),"")</x:f>
      </x:c>
      <x:c r="S158" s="8" t="n"/>
      <x:c r="T158">
        <x:f>IF(AND(G158&lt;&gt;"",S158&lt;&gt;""),ROUNDUP(G158*S158,0),"")</x:f>
      </x:c>
      <x:c r="X158">
        <x:f>IF(OR(V158&lt;&gt;"",W158&lt;&gt;""),V158+W158,"")</x:f>
      </x:c>
      <x:c r="Y158" s="9">
        <x:f>IF(AND(X158&lt;&gt;"",T158&lt;&gt;""),X158/T158,"")</x:f>
      </x:c>
    </x:row>
    <x:row r="159">
      <x:c r="L159" s="7" t="n"/>
      <x:c r="M159" s="7" t="n"/>
      <x:c r="N159" s="7" t="n"/>
      <x:c r="O159">
        <x:f>IF(AND(N159&lt;&gt;"",L159&lt;&gt;""),N159-L159,"")</x:f>
      </x:c>
      <x:c r="P159">
        <x:f>IF(AND(N159&lt;&gt;"",M159&lt;&gt;""),IF(N159&lt;=M159,"Yes","No"),"")</x:f>
      </x:c>
      <x:c r="S159" s="8" t="n"/>
      <x:c r="T159">
        <x:f>IF(AND(G159&lt;&gt;"",S159&lt;&gt;""),ROUNDUP(G159*S159,0),"")</x:f>
      </x:c>
      <x:c r="X159">
        <x:f>IF(OR(V159&lt;&gt;"",W159&lt;&gt;""),V159+W159,"")</x:f>
      </x:c>
      <x:c r="Y159" s="9">
        <x:f>IF(AND(X159&lt;&gt;"",T159&lt;&gt;""),X159/T159,"")</x:f>
      </x:c>
    </x:row>
    <x:row r="160">
      <x:c r="L160" s="7" t="n"/>
      <x:c r="M160" s="7" t="n"/>
      <x:c r="N160" s="7" t="n"/>
      <x:c r="O160">
        <x:f>IF(AND(N160&lt;&gt;"",L160&lt;&gt;""),N160-L160,"")</x:f>
      </x:c>
      <x:c r="P160">
        <x:f>IF(AND(N160&lt;&gt;"",M160&lt;&gt;""),IF(N160&lt;=M160,"Yes","No"),"")</x:f>
      </x:c>
      <x:c r="S160" s="8" t="n"/>
      <x:c r="T160">
        <x:f>IF(AND(G160&lt;&gt;"",S160&lt;&gt;""),ROUNDUP(G160*S160,0),"")</x:f>
      </x:c>
      <x:c r="X160">
        <x:f>IF(OR(V160&lt;&gt;"",W160&lt;&gt;""),V160+W160,"")</x:f>
      </x:c>
      <x:c r="Y160" s="9">
        <x:f>IF(AND(X160&lt;&gt;"",T160&lt;&gt;""),X160/T160,"")</x:f>
      </x:c>
    </x:row>
    <x:row r="161">
      <x:c r="L161" s="7" t="n"/>
      <x:c r="M161" s="7" t="n"/>
      <x:c r="N161" s="7" t="n"/>
      <x:c r="O161">
        <x:f>IF(AND(N161&lt;&gt;"",L161&lt;&gt;""),N161-L161,"")</x:f>
      </x:c>
      <x:c r="P161">
        <x:f>IF(AND(N161&lt;&gt;"",M161&lt;&gt;""),IF(N161&lt;=M161,"Yes","No"),"")</x:f>
      </x:c>
      <x:c r="S161" s="8" t="n"/>
      <x:c r="T161">
        <x:f>IF(AND(G161&lt;&gt;"",S161&lt;&gt;""),ROUNDUP(G161*S161,0),"")</x:f>
      </x:c>
      <x:c r="X161">
        <x:f>IF(OR(V161&lt;&gt;"",W161&lt;&gt;""),V161+W161,"")</x:f>
      </x:c>
      <x:c r="Y161" s="9">
        <x:f>IF(AND(X161&lt;&gt;"",T161&lt;&gt;""),X161/T161,"")</x:f>
      </x:c>
    </x:row>
    <x:row r="162">
      <x:c r="L162" s="7" t="n"/>
      <x:c r="M162" s="7" t="n"/>
      <x:c r="N162" s="7" t="n"/>
      <x:c r="O162">
        <x:f>IF(AND(N162&lt;&gt;"",L162&lt;&gt;""),N162-L162,"")</x:f>
      </x:c>
      <x:c r="P162">
        <x:f>IF(AND(N162&lt;&gt;"",M162&lt;&gt;""),IF(N162&lt;=M162,"Yes","No"),"")</x:f>
      </x:c>
      <x:c r="S162" s="8" t="n"/>
      <x:c r="T162">
        <x:f>IF(AND(G162&lt;&gt;"",S162&lt;&gt;""),ROUNDUP(G162*S162,0),"")</x:f>
      </x:c>
      <x:c r="X162">
        <x:f>IF(OR(V162&lt;&gt;"",W162&lt;&gt;""),V162+W162,"")</x:f>
      </x:c>
      <x:c r="Y162" s="9">
        <x:f>IF(AND(X162&lt;&gt;"",T162&lt;&gt;""),X162/T162,"")</x:f>
      </x:c>
    </x:row>
    <x:row r="163">
      <x:c r="L163" s="7" t="n"/>
      <x:c r="M163" s="7" t="n"/>
      <x:c r="N163" s="7" t="n"/>
      <x:c r="O163">
        <x:f>IF(AND(N163&lt;&gt;"",L163&lt;&gt;""),N163-L163,"")</x:f>
      </x:c>
      <x:c r="P163">
        <x:f>IF(AND(N163&lt;&gt;"",M163&lt;&gt;""),IF(N163&lt;=M163,"Yes","No"),"")</x:f>
      </x:c>
      <x:c r="S163" s="8" t="n"/>
      <x:c r="T163">
        <x:f>IF(AND(G163&lt;&gt;"",S163&lt;&gt;""),ROUNDUP(G163*S163,0),"")</x:f>
      </x:c>
      <x:c r="X163">
        <x:f>IF(OR(V163&lt;&gt;"",W163&lt;&gt;""),V163+W163,"")</x:f>
      </x:c>
      <x:c r="Y163" s="9">
        <x:f>IF(AND(X163&lt;&gt;"",T163&lt;&gt;""),X163/T163,"")</x:f>
      </x:c>
    </x:row>
    <x:row r="164">
      <x:c r="L164" s="7" t="n"/>
      <x:c r="M164" s="7" t="n"/>
      <x:c r="N164" s="7" t="n"/>
      <x:c r="O164">
        <x:f>IF(AND(N164&lt;&gt;"",L164&lt;&gt;""),N164-L164,"")</x:f>
      </x:c>
      <x:c r="P164">
        <x:f>IF(AND(N164&lt;&gt;"",M164&lt;&gt;""),IF(N164&lt;=M164,"Yes","No"),"")</x:f>
      </x:c>
      <x:c r="S164" s="8" t="n"/>
      <x:c r="T164">
        <x:f>IF(AND(G164&lt;&gt;"",S164&lt;&gt;""),ROUNDUP(G164*S164,0),"")</x:f>
      </x:c>
      <x:c r="X164">
        <x:f>IF(OR(V164&lt;&gt;"",W164&lt;&gt;""),V164+W164,"")</x:f>
      </x:c>
      <x:c r="Y164" s="9">
        <x:f>IF(AND(X164&lt;&gt;"",T164&lt;&gt;""),X164/T164,"")</x:f>
      </x:c>
    </x:row>
    <x:row r="165">
      <x:c r="L165" s="7" t="n"/>
      <x:c r="M165" s="7" t="n"/>
      <x:c r="N165" s="7" t="n"/>
      <x:c r="O165">
        <x:f>IF(AND(N165&lt;&gt;"",L165&lt;&gt;""),N165-L165,"")</x:f>
      </x:c>
      <x:c r="P165">
        <x:f>IF(AND(N165&lt;&gt;"",M165&lt;&gt;""),IF(N165&lt;=M165,"Yes","No"),"")</x:f>
      </x:c>
      <x:c r="S165" s="8" t="n"/>
      <x:c r="T165">
        <x:f>IF(AND(G165&lt;&gt;"",S165&lt;&gt;""),ROUNDUP(G165*S165,0),"")</x:f>
      </x:c>
      <x:c r="X165">
        <x:f>IF(OR(V165&lt;&gt;"",W165&lt;&gt;""),V165+W165,"")</x:f>
      </x:c>
      <x:c r="Y165" s="9">
        <x:f>IF(AND(X165&lt;&gt;"",T165&lt;&gt;""),X165/T165,"")</x:f>
      </x:c>
    </x:row>
    <x:row r="166">
      <x:c r="L166" s="7" t="n"/>
      <x:c r="M166" s="7" t="n"/>
      <x:c r="N166" s="7" t="n"/>
      <x:c r="O166">
        <x:f>IF(AND(N166&lt;&gt;"",L166&lt;&gt;""),N166-L166,"")</x:f>
      </x:c>
      <x:c r="P166">
        <x:f>IF(AND(N166&lt;&gt;"",M166&lt;&gt;""),IF(N166&lt;=M166,"Yes","No"),"")</x:f>
      </x:c>
      <x:c r="S166" s="8" t="n"/>
      <x:c r="T166">
        <x:f>IF(AND(G166&lt;&gt;"",S166&lt;&gt;""),ROUNDUP(G166*S166,0),"")</x:f>
      </x:c>
      <x:c r="X166">
        <x:f>IF(OR(V166&lt;&gt;"",W166&lt;&gt;""),V166+W166,"")</x:f>
      </x:c>
      <x:c r="Y166" s="9">
        <x:f>IF(AND(X166&lt;&gt;"",T166&lt;&gt;""),X166/T166,"")</x:f>
      </x:c>
    </x:row>
    <x:row r="167">
      <x:c r="L167" s="7" t="n"/>
      <x:c r="M167" s="7" t="n"/>
      <x:c r="N167" s="7" t="n"/>
      <x:c r="O167">
        <x:f>IF(AND(N167&lt;&gt;"",L167&lt;&gt;""),N167-L167,"")</x:f>
      </x:c>
      <x:c r="P167">
        <x:f>IF(AND(N167&lt;&gt;"",M167&lt;&gt;""),IF(N167&lt;=M167,"Yes","No"),"")</x:f>
      </x:c>
      <x:c r="S167" s="8" t="n"/>
      <x:c r="T167">
        <x:f>IF(AND(G167&lt;&gt;"",S167&lt;&gt;""),ROUNDUP(G167*S167,0),"")</x:f>
      </x:c>
      <x:c r="X167">
        <x:f>IF(OR(V167&lt;&gt;"",W167&lt;&gt;""),V167+W167,"")</x:f>
      </x:c>
      <x:c r="Y167" s="9">
        <x:f>IF(AND(X167&lt;&gt;"",T167&lt;&gt;""),X167/T167,"")</x:f>
      </x:c>
    </x:row>
    <x:row r="168">
      <x:c r="L168" s="7" t="n"/>
      <x:c r="M168" s="7" t="n"/>
      <x:c r="N168" s="7" t="n"/>
      <x:c r="O168">
        <x:f>IF(AND(N168&lt;&gt;"",L168&lt;&gt;""),N168-L168,"")</x:f>
      </x:c>
      <x:c r="P168">
        <x:f>IF(AND(N168&lt;&gt;"",M168&lt;&gt;""),IF(N168&lt;=M168,"Yes","No"),"")</x:f>
      </x:c>
      <x:c r="S168" s="8" t="n"/>
      <x:c r="T168">
        <x:f>IF(AND(G168&lt;&gt;"",S168&lt;&gt;""),ROUNDUP(G168*S168,0),"")</x:f>
      </x:c>
      <x:c r="X168">
        <x:f>IF(OR(V168&lt;&gt;"",W168&lt;&gt;""),V168+W168,"")</x:f>
      </x:c>
      <x:c r="Y168" s="9">
        <x:f>IF(AND(X168&lt;&gt;"",T168&lt;&gt;""),X168/T168,"")</x:f>
      </x:c>
    </x:row>
    <x:row r="169">
      <x:c r="L169" s="7" t="n"/>
      <x:c r="M169" s="7" t="n"/>
      <x:c r="N169" s="7" t="n"/>
      <x:c r="O169">
        <x:f>IF(AND(N169&lt;&gt;"",L169&lt;&gt;""),N169-L169,"")</x:f>
      </x:c>
      <x:c r="P169">
        <x:f>IF(AND(N169&lt;&gt;"",M169&lt;&gt;""),IF(N169&lt;=M169,"Yes","No"),"")</x:f>
      </x:c>
      <x:c r="S169" s="8" t="n"/>
      <x:c r="T169">
        <x:f>IF(AND(G169&lt;&gt;"",S169&lt;&gt;""),ROUNDUP(G169*S169,0),"")</x:f>
      </x:c>
      <x:c r="X169">
        <x:f>IF(OR(V169&lt;&gt;"",W169&lt;&gt;""),V169+W169,"")</x:f>
      </x:c>
      <x:c r="Y169" s="9">
        <x:f>IF(AND(X169&lt;&gt;"",T169&lt;&gt;""),X169/T169,"")</x:f>
      </x:c>
    </x:row>
    <x:row r="170">
      <x:c r="L170" s="7" t="n"/>
      <x:c r="M170" s="7" t="n"/>
      <x:c r="N170" s="7" t="n"/>
      <x:c r="O170">
        <x:f>IF(AND(N170&lt;&gt;"",L170&lt;&gt;""),N170-L170,"")</x:f>
      </x:c>
      <x:c r="P170">
        <x:f>IF(AND(N170&lt;&gt;"",M170&lt;&gt;""),IF(N170&lt;=M170,"Yes","No"),"")</x:f>
      </x:c>
      <x:c r="S170" s="8" t="n"/>
      <x:c r="T170">
        <x:f>IF(AND(G170&lt;&gt;"",S170&lt;&gt;""),ROUNDUP(G170*S170,0),"")</x:f>
      </x:c>
      <x:c r="X170">
        <x:f>IF(OR(V170&lt;&gt;"",W170&lt;&gt;""),V170+W170,"")</x:f>
      </x:c>
      <x:c r="Y170" s="9">
        <x:f>IF(AND(X170&lt;&gt;"",T170&lt;&gt;""),X170/T170,"")</x:f>
      </x:c>
    </x:row>
    <x:row r="171">
      <x:c r="L171" s="7" t="n"/>
      <x:c r="M171" s="7" t="n"/>
      <x:c r="N171" s="7" t="n"/>
      <x:c r="O171">
        <x:f>IF(AND(N171&lt;&gt;"",L171&lt;&gt;""),N171-L171,"")</x:f>
      </x:c>
      <x:c r="P171">
        <x:f>IF(AND(N171&lt;&gt;"",M171&lt;&gt;""),IF(N171&lt;=M171,"Yes","No"),"")</x:f>
      </x:c>
      <x:c r="S171" s="8" t="n"/>
      <x:c r="T171">
        <x:f>IF(AND(G171&lt;&gt;"",S171&lt;&gt;""),ROUNDUP(G171*S171,0),"")</x:f>
      </x:c>
      <x:c r="X171">
        <x:f>IF(OR(V171&lt;&gt;"",W171&lt;&gt;""),V171+W171,"")</x:f>
      </x:c>
      <x:c r="Y171" s="9">
        <x:f>IF(AND(X171&lt;&gt;"",T171&lt;&gt;""),X171/T171,"")</x:f>
      </x:c>
    </x:row>
    <x:row r="172">
      <x:c r="L172" s="7" t="n"/>
      <x:c r="M172" s="7" t="n"/>
      <x:c r="N172" s="7" t="n"/>
      <x:c r="O172">
        <x:f>IF(AND(N172&lt;&gt;"",L172&lt;&gt;""),N172-L172,"")</x:f>
      </x:c>
      <x:c r="P172">
        <x:f>IF(AND(N172&lt;&gt;"",M172&lt;&gt;""),IF(N172&lt;=M172,"Yes","No"),"")</x:f>
      </x:c>
      <x:c r="S172" s="8" t="n"/>
      <x:c r="T172">
        <x:f>IF(AND(G172&lt;&gt;"",S172&lt;&gt;""),ROUNDUP(G172*S172,0),"")</x:f>
      </x:c>
      <x:c r="X172">
        <x:f>IF(OR(V172&lt;&gt;"",W172&lt;&gt;""),V172+W172,"")</x:f>
      </x:c>
      <x:c r="Y172" s="9">
        <x:f>IF(AND(X172&lt;&gt;"",T172&lt;&gt;""),X172/T172,"")</x:f>
      </x:c>
    </x:row>
    <x:row r="173">
      <x:c r="L173" s="7" t="n"/>
      <x:c r="M173" s="7" t="n"/>
      <x:c r="N173" s="7" t="n"/>
      <x:c r="O173">
        <x:f>IF(AND(N173&lt;&gt;"",L173&lt;&gt;""),N173-L173,"")</x:f>
      </x:c>
      <x:c r="P173">
        <x:f>IF(AND(N173&lt;&gt;"",M173&lt;&gt;""),IF(N173&lt;=M173,"Yes","No"),"")</x:f>
      </x:c>
      <x:c r="S173" s="8" t="n"/>
      <x:c r="T173">
        <x:f>IF(AND(G173&lt;&gt;"",S173&lt;&gt;""),ROUNDUP(G173*S173,0),"")</x:f>
      </x:c>
      <x:c r="X173">
        <x:f>IF(OR(V173&lt;&gt;"",W173&lt;&gt;""),V173+W173,"")</x:f>
      </x:c>
      <x:c r="Y173" s="9">
        <x:f>IF(AND(X173&lt;&gt;"",T173&lt;&gt;""),X173/T173,"")</x:f>
      </x:c>
    </x:row>
    <x:row r="174">
      <x:c r="L174" s="7" t="n"/>
      <x:c r="M174" s="7" t="n"/>
      <x:c r="N174" s="7" t="n"/>
      <x:c r="O174">
        <x:f>IF(AND(N174&lt;&gt;"",L174&lt;&gt;""),N174-L174,"")</x:f>
      </x:c>
      <x:c r="P174">
        <x:f>IF(AND(N174&lt;&gt;"",M174&lt;&gt;""),IF(N174&lt;=M174,"Yes","No"),"")</x:f>
      </x:c>
      <x:c r="S174" s="8" t="n"/>
      <x:c r="T174">
        <x:f>IF(AND(G174&lt;&gt;"",S174&lt;&gt;""),ROUNDUP(G174*S174,0),"")</x:f>
      </x:c>
      <x:c r="X174">
        <x:f>IF(OR(V174&lt;&gt;"",W174&lt;&gt;""),V174+W174,"")</x:f>
      </x:c>
      <x:c r="Y174" s="9">
        <x:f>IF(AND(X174&lt;&gt;"",T174&lt;&gt;""),X174/T174,"")</x:f>
      </x:c>
    </x:row>
    <x:row r="175">
      <x:c r="L175" s="7" t="n"/>
      <x:c r="M175" s="7" t="n"/>
      <x:c r="N175" s="7" t="n"/>
      <x:c r="O175">
        <x:f>IF(AND(N175&lt;&gt;"",L175&lt;&gt;""),N175-L175,"")</x:f>
      </x:c>
      <x:c r="P175">
        <x:f>IF(AND(N175&lt;&gt;"",M175&lt;&gt;""),IF(N175&lt;=M175,"Yes","No"),"")</x:f>
      </x:c>
      <x:c r="S175" s="8" t="n"/>
      <x:c r="T175">
        <x:f>IF(AND(G175&lt;&gt;"",S175&lt;&gt;""),ROUNDUP(G175*S175,0),"")</x:f>
      </x:c>
      <x:c r="X175">
        <x:f>IF(OR(V175&lt;&gt;"",W175&lt;&gt;""),V175+W175,"")</x:f>
      </x:c>
      <x:c r="Y175" s="9">
        <x:f>IF(AND(X175&lt;&gt;"",T175&lt;&gt;""),X175/T175,"")</x:f>
      </x:c>
    </x:row>
    <x:row r="176">
      <x:c r="L176" s="7" t="n"/>
      <x:c r="M176" s="7" t="n"/>
      <x:c r="N176" s="7" t="n"/>
      <x:c r="O176">
        <x:f>IF(AND(N176&lt;&gt;"",L176&lt;&gt;""),N176-L176,"")</x:f>
      </x:c>
      <x:c r="P176">
        <x:f>IF(AND(N176&lt;&gt;"",M176&lt;&gt;""),IF(N176&lt;=M176,"Yes","No"),"")</x:f>
      </x:c>
      <x:c r="S176" s="8" t="n"/>
      <x:c r="T176">
        <x:f>IF(AND(G176&lt;&gt;"",S176&lt;&gt;""),ROUNDUP(G176*S176,0),"")</x:f>
      </x:c>
      <x:c r="X176">
        <x:f>IF(OR(V176&lt;&gt;"",W176&lt;&gt;""),V176+W176,"")</x:f>
      </x:c>
      <x:c r="Y176" s="9">
        <x:f>IF(AND(X176&lt;&gt;"",T176&lt;&gt;""),X176/T176,"")</x:f>
      </x:c>
    </x:row>
    <x:row r="177">
      <x:c r="L177" s="7" t="n"/>
      <x:c r="M177" s="7" t="n"/>
      <x:c r="N177" s="7" t="n"/>
      <x:c r="O177">
        <x:f>IF(AND(N177&lt;&gt;"",L177&lt;&gt;""),N177-L177,"")</x:f>
      </x:c>
      <x:c r="P177">
        <x:f>IF(AND(N177&lt;&gt;"",M177&lt;&gt;""),IF(N177&lt;=M177,"Yes","No"),"")</x:f>
      </x:c>
      <x:c r="S177" s="8" t="n"/>
      <x:c r="T177">
        <x:f>IF(AND(G177&lt;&gt;"",S177&lt;&gt;""),ROUNDUP(G177*S177,0),"")</x:f>
      </x:c>
      <x:c r="X177">
        <x:f>IF(OR(V177&lt;&gt;"",W177&lt;&gt;""),V177+W177,"")</x:f>
      </x:c>
      <x:c r="Y177" s="9">
        <x:f>IF(AND(X177&lt;&gt;"",T177&lt;&gt;""),X177/T177,"")</x:f>
      </x:c>
    </x:row>
    <x:row r="178">
      <x:c r="L178" s="7" t="n"/>
      <x:c r="M178" s="7" t="n"/>
      <x:c r="N178" s="7" t="n"/>
      <x:c r="O178">
        <x:f>IF(AND(N178&lt;&gt;"",L178&lt;&gt;""),N178-L178,"")</x:f>
      </x:c>
      <x:c r="P178">
        <x:f>IF(AND(N178&lt;&gt;"",M178&lt;&gt;""),IF(N178&lt;=M178,"Yes","No"),"")</x:f>
      </x:c>
      <x:c r="S178" s="8" t="n"/>
      <x:c r="T178">
        <x:f>IF(AND(G178&lt;&gt;"",S178&lt;&gt;""),ROUNDUP(G178*S178,0),"")</x:f>
      </x:c>
      <x:c r="X178">
        <x:f>IF(OR(V178&lt;&gt;"",W178&lt;&gt;""),V178+W178,"")</x:f>
      </x:c>
      <x:c r="Y178" s="9">
        <x:f>IF(AND(X178&lt;&gt;"",T178&lt;&gt;""),X178/T178,"")</x:f>
      </x:c>
    </x:row>
    <x:row r="179">
      <x:c r="L179" s="7" t="n"/>
      <x:c r="M179" s="7" t="n"/>
      <x:c r="N179" s="7" t="n"/>
      <x:c r="O179">
        <x:f>IF(AND(N179&lt;&gt;"",L179&lt;&gt;""),N179-L179,"")</x:f>
      </x:c>
      <x:c r="P179">
        <x:f>IF(AND(N179&lt;&gt;"",M179&lt;&gt;""),IF(N179&lt;=M179,"Yes","No"),"")</x:f>
      </x:c>
      <x:c r="S179" s="8" t="n"/>
      <x:c r="T179">
        <x:f>IF(AND(G179&lt;&gt;"",S179&lt;&gt;""),ROUNDUP(G179*S179,0),"")</x:f>
      </x:c>
      <x:c r="X179">
        <x:f>IF(OR(V179&lt;&gt;"",W179&lt;&gt;""),V179+W179,"")</x:f>
      </x:c>
      <x:c r="Y179" s="9">
        <x:f>IF(AND(X179&lt;&gt;"",T179&lt;&gt;""),X179/T179,"")</x:f>
      </x:c>
    </x:row>
    <x:row r="180">
      <x:c r="L180" s="7" t="n"/>
      <x:c r="M180" s="7" t="n"/>
      <x:c r="N180" s="7" t="n"/>
      <x:c r="O180">
        <x:f>IF(AND(N180&lt;&gt;"",L180&lt;&gt;""),N180-L180,"")</x:f>
      </x:c>
      <x:c r="P180">
        <x:f>IF(AND(N180&lt;&gt;"",M180&lt;&gt;""),IF(N180&lt;=M180,"Yes","No"),"")</x:f>
      </x:c>
      <x:c r="S180" s="8" t="n"/>
      <x:c r="T180">
        <x:f>IF(AND(G180&lt;&gt;"",S180&lt;&gt;""),ROUNDUP(G180*S180,0),"")</x:f>
      </x:c>
      <x:c r="X180">
        <x:f>IF(OR(V180&lt;&gt;"",W180&lt;&gt;""),V180+W180,"")</x:f>
      </x:c>
      <x:c r="Y180" s="9">
        <x:f>IF(AND(X180&lt;&gt;"",T180&lt;&gt;""),X180/T180,"")</x:f>
      </x:c>
    </x:row>
    <x:row r="181">
      <x:c r="L181" s="7" t="n"/>
      <x:c r="M181" s="7" t="n"/>
      <x:c r="N181" s="7" t="n"/>
      <x:c r="O181">
        <x:f>IF(AND(N181&lt;&gt;"",L181&lt;&gt;""),N181-L181,"")</x:f>
      </x:c>
      <x:c r="P181">
        <x:f>IF(AND(N181&lt;&gt;"",M181&lt;&gt;""),IF(N181&lt;=M181,"Yes","No"),"")</x:f>
      </x:c>
      <x:c r="S181" s="8" t="n"/>
      <x:c r="T181">
        <x:f>IF(AND(G181&lt;&gt;"",S181&lt;&gt;""),ROUNDUP(G181*S181,0),"")</x:f>
      </x:c>
      <x:c r="X181">
        <x:f>IF(OR(V181&lt;&gt;"",W181&lt;&gt;""),V181+W181,"")</x:f>
      </x:c>
      <x:c r="Y181" s="9">
        <x:f>IF(AND(X181&lt;&gt;"",T181&lt;&gt;""),X181/T181,"")</x:f>
      </x:c>
    </x:row>
    <x:row r="182">
      <x:c r="L182" s="7" t="n"/>
      <x:c r="M182" s="7" t="n"/>
      <x:c r="N182" s="7" t="n"/>
      <x:c r="O182">
        <x:f>IF(AND(N182&lt;&gt;"",L182&lt;&gt;""),N182-L182,"")</x:f>
      </x:c>
      <x:c r="P182">
        <x:f>IF(AND(N182&lt;&gt;"",M182&lt;&gt;""),IF(N182&lt;=M182,"Yes","No"),"")</x:f>
      </x:c>
      <x:c r="S182" s="8" t="n"/>
      <x:c r="T182">
        <x:f>IF(AND(G182&lt;&gt;"",S182&lt;&gt;""),ROUNDUP(G182*S182,0),"")</x:f>
      </x:c>
      <x:c r="X182">
        <x:f>IF(OR(V182&lt;&gt;"",W182&lt;&gt;""),V182+W182,"")</x:f>
      </x:c>
      <x:c r="Y182" s="9">
        <x:f>IF(AND(X182&lt;&gt;"",T182&lt;&gt;""),X182/T182,"")</x:f>
      </x:c>
    </x:row>
    <x:row r="183">
      <x:c r="L183" s="7" t="n"/>
      <x:c r="M183" s="7" t="n"/>
      <x:c r="N183" s="7" t="n"/>
      <x:c r="O183">
        <x:f>IF(AND(N183&lt;&gt;"",L183&lt;&gt;""),N183-L183,"")</x:f>
      </x:c>
      <x:c r="P183">
        <x:f>IF(AND(N183&lt;&gt;"",M183&lt;&gt;""),IF(N183&lt;=M183,"Yes","No"),"")</x:f>
      </x:c>
      <x:c r="S183" s="8" t="n"/>
      <x:c r="T183">
        <x:f>IF(AND(G183&lt;&gt;"",S183&lt;&gt;""),ROUNDUP(G183*S183,0),"")</x:f>
      </x:c>
      <x:c r="X183">
        <x:f>IF(OR(V183&lt;&gt;"",W183&lt;&gt;""),V183+W183,"")</x:f>
      </x:c>
      <x:c r="Y183" s="9">
        <x:f>IF(AND(X183&lt;&gt;"",T183&lt;&gt;""),X183/T183,"")</x:f>
      </x:c>
    </x:row>
    <x:row r="184">
      <x:c r="L184" s="7" t="n"/>
      <x:c r="M184" s="7" t="n"/>
      <x:c r="N184" s="7" t="n"/>
      <x:c r="O184">
        <x:f>IF(AND(N184&lt;&gt;"",L184&lt;&gt;""),N184-L184,"")</x:f>
      </x:c>
      <x:c r="P184">
        <x:f>IF(AND(N184&lt;&gt;"",M184&lt;&gt;""),IF(N184&lt;=M184,"Yes","No"),"")</x:f>
      </x:c>
      <x:c r="S184" s="8" t="n"/>
      <x:c r="T184">
        <x:f>IF(AND(G184&lt;&gt;"",S184&lt;&gt;""),ROUNDUP(G184*S184,0),"")</x:f>
      </x:c>
      <x:c r="X184">
        <x:f>IF(OR(V184&lt;&gt;"",W184&lt;&gt;""),V184+W184,"")</x:f>
      </x:c>
      <x:c r="Y184" s="9">
        <x:f>IF(AND(X184&lt;&gt;"",T184&lt;&gt;""),X184/T184,"")</x:f>
      </x:c>
    </x:row>
    <x:row r="185">
      <x:c r="L185" s="7" t="n"/>
      <x:c r="M185" s="7" t="n"/>
      <x:c r="N185" s="7" t="n"/>
      <x:c r="O185">
        <x:f>IF(AND(N185&lt;&gt;"",L185&lt;&gt;""),N185-L185,"")</x:f>
      </x:c>
      <x:c r="P185">
        <x:f>IF(AND(N185&lt;&gt;"",M185&lt;&gt;""),IF(N185&lt;=M185,"Yes","No"),"")</x:f>
      </x:c>
      <x:c r="S185" s="8" t="n"/>
      <x:c r="T185">
        <x:f>IF(AND(G185&lt;&gt;"",S185&lt;&gt;""),ROUNDUP(G185*S185,0),"")</x:f>
      </x:c>
      <x:c r="X185">
        <x:f>IF(OR(V185&lt;&gt;"",W185&lt;&gt;""),V185+W185,"")</x:f>
      </x:c>
      <x:c r="Y185" s="9">
        <x:f>IF(AND(X185&lt;&gt;"",T185&lt;&gt;""),X185/T185,"")</x:f>
      </x:c>
    </x:row>
    <x:row r="186">
      <x:c r="L186" s="7" t="n"/>
      <x:c r="M186" s="7" t="n"/>
      <x:c r="N186" s="7" t="n"/>
      <x:c r="O186">
        <x:f>IF(AND(N186&lt;&gt;"",L186&lt;&gt;""),N186-L186,"")</x:f>
      </x:c>
      <x:c r="P186">
        <x:f>IF(AND(N186&lt;&gt;"",M186&lt;&gt;""),IF(N186&lt;=M186,"Yes","No"),"")</x:f>
      </x:c>
      <x:c r="S186" s="8" t="n"/>
      <x:c r="T186">
        <x:f>IF(AND(G186&lt;&gt;"",S186&lt;&gt;""),ROUNDUP(G186*S186,0),"")</x:f>
      </x:c>
      <x:c r="X186">
        <x:f>IF(OR(V186&lt;&gt;"",W186&lt;&gt;""),V186+W186,"")</x:f>
      </x:c>
      <x:c r="Y186" s="9">
        <x:f>IF(AND(X186&lt;&gt;"",T186&lt;&gt;""),X186/T186,"")</x:f>
      </x:c>
    </x:row>
    <x:row r="187">
      <x:c r="L187" s="7" t="n"/>
      <x:c r="M187" s="7" t="n"/>
      <x:c r="N187" s="7" t="n"/>
      <x:c r="O187">
        <x:f>IF(AND(N187&lt;&gt;"",L187&lt;&gt;""),N187-L187,"")</x:f>
      </x:c>
      <x:c r="P187">
        <x:f>IF(AND(N187&lt;&gt;"",M187&lt;&gt;""),IF(N187&lt;=M187,"Yes","No"),"")</x:f>
      </x:c>
      <x:c r="S187" s="8" t="n"/>
      <x:c r="T187">
        <x:f>IF(AND(G187&lt;&gt;"",S187&lt;&gt;""),ROUNDUP(G187*S187,0),"")</x:f>
      </x:c>
      <x:c r="X187">
        <x:f>IF(OR(V187&lt;&gt;"",W187&lt;&gt;""),V187+W187,"")</x:f>
      </x:c>
      <x:c r="Y187" s="9">
        <x:f>IF(AND(X187&lt;&gt;"",T187&lt;&gt;""),X187/T187,"")</x:f>
      </x:c>
    </x:row>
    <x:row r="188">
      <x:c r="L188" s="7" t="n"/>
      <x:c r="M188" s="7" t="n"/>
      <x:c r="N188" s="7" t="n"/>
      <x:c r="O188">
        <x:f>IF(AND(N188&lt;&gt;"",L188&lt;&gt;""),N188-L188,"")</x:f>
      </x:c>
      <x:c r="P188">
        <x:f>IF(AND(N188&lt;&gt;"",M188&lt;&gt;""),IF(N188&lt;=M188,"Yes","No"),"")</x:f>
      </x:c>
      <x:c r="S188" s="8" t="n"/>
      <x:c r="T188">
        <x:f>IF(AND(G188&lt;&gt;"",S188&lt;&gt;""),ROUNDUP(G188*S188,0),"")</x:f>
      </x:c>
      <x:c r="X188">
        <x:f>IF(OR(V188&lt;&gt;"",W188&lt;&gt;""),V188+W188,"")</x:f>
      </x:c>
      <x:c r="Y188" s="9">
        <x:f>IF(AND(X188&lt;&gt;"",T188&lt;&gt;""),X188/T188,"")</x:f>
      </x:c>
    </x:row>
    <x:row r="189">
      <x:c r="L189" s="7" t="n"/>
      <x:c r="M189" s="7" t="n"/>
      <x:c r="N189" s="7" t="n"/>
      <x:c r="O189">
        <x:f>IF(AND(N189&lt;&gt;"",L189&lt;&gt;""),N189-L189,"")</x:f>
      </x:c>
      <x:c r="P189">
        <x:f>IF(AND(N189&lt;&gt;"",M189&lt;&gt;""),IF(N189&lt;=M189,"Yes","No"),"")</x:f>
      </x:c>
      <x:c r="S189" s="8" t="n"/>
      <x:c r="T189">
        <x:f>IF(AND(G189&lt;&gt;"",S189&lt;&gt;""),ROUNDUP(G189*S189,0),"")</x:f>
      </x:c>
      <x:c r="X189">
        <x:f>IF(OR(V189&lt;&gt;"",W189&lt;&gt;""),V189+W189,"")</x:f>
      </x:c>
      <x:c r="Y189" s="9">
        <x:f>IF(AND(X189&lt;&gt;"",T189&lt;&gt;""),X189/T189,"")</x:f>
      </x:c>
    </x:row>
    <x:row r="190">
      <x:c r="L190" s="7" t="n"/>
      <x:c r="M190" s="7" t="n"/>
      <x:c r="N190" s="7" t="n"/>
      <x:c r="O190">
        <x:f>IF(AND(N190&lt;&gt;"",L190&lt;&gt;""),N190-L190,"")</x:f>
      </x:c>
      <x:c r="P190">
        <x:f>IF(AND(N190&lt;&gt;"",M190&lt;&gt;""),IF(N190&lt;=M190,"Yes","No"),"")</x:f>
      </x:c>
      <x:c r="S190" s="8" t="n"/>
      <x:c r="T190">
        <x:f>IF(AND(G190&lt;&gt;"",S190&lt;&gt;""),ROUNDUP(G190*S190,0),"")</x:f>
      </x:c>
      <x:c r="X190">
        <x:f>IF(OR(V190&lt;&gt;"",W190&lt;&gt;""),V190+W190,"")</x:f>
      </x:c>
      <x:c r="Y190" s="9">
        <x:f>IF(AND(X190&lt;&gt;"",T190&lt;&gt;""),X190/T190,"")</x:f>
      </x:c>
    </x:row>
    <x:row r="191">
      <x:c r="L191" s="7" t="n"/>
      <x:c r="M191" s="7" t="n"/>
      <x:c r="N191" s="7" t="n"/>
      <x:c r="O191">
        <x:f>IF(AND(N191&lt;&gt;"",L191&lt;&gt;""),N191-L191,"")</x:f>
      </x:c>
      <x:c r="P191">
        <x:f>IF(AND(N191&lt;&gt;"",M191&lt;&gt;""),IF(N191&lt;=M191,"Yes","No"),"")</x:f>
      </x:c>
      <x:c r="S191" s="8" t="n"/>
      <x:c r="T191">
        <x:f>IF(AND(G191&lt;&gt;"",S191&lt;&gt;""),ROUNDUP(G191*S191,0),"")</x:f>
      </x:c>
      <x:c r="X191">
        <x:f>IF(OR(V191&lt;&gt;"",W191&lt;&gt;""),V191+W191,"")</x:f>
      </x:c>
      <x:c r="Y191" s="9">
        <x:f>IF(AND(X191&lt;&gt;"",T191&lt;&gt;""),X191/T191,"")</x:f>
      </x:c>
    </x:row>
    <x:row r="192">
      <x:c r="L192" s="7" t="n"/>
      <x:c r="M192" s="7" t="n"/>
      <x:c r="N192" s="7" t="n"/>
      <x:c r="O192">
        <x:f>IF(AND(N192&lt;&gt;"",L192&lt;&gt;""),N192-L192,"")</x:f>
      </x:c>
      <x:c r="P192">
        <x:f>IF(AND(N192&lt;&gt;"",M192&lt;&gt;""),IF(N192&lt;=M192,"Yes","No"),"")</x:f>
      </x:c>
      <x:c r="S192" s="8" t="n"/>
      <x:c r="T192">
        <x:f>IF(AND(G192&lt;&gt;"",S192&lt;&gt;""),ROUNDUP(G192*S192,0),"")</x:f>
      </x:c>
      <x:c r="X192">
        <x:f>IF(OR(V192&lt;&gt;"",W192&lt;&gt;""),V192+W192,"")</x:f>
      </x:c>
      <x:c r="Y192" s="9">
        <x:f>IF(AND(X192&lt;&gt;"",T192&lt;&gt;""),X192/T192,"")</x:f>
      </x:c>
    </x:row>
    <x:row r="193">
      <x:c r="L193" s="7" t="n"/>
      <x:c r="M193" s="7" t="n"/>
      <x:c r="N193" s="7" t="n"/>
      <x:c r="O193">
        <x:f>IF(AND(N193&lt;&gt;"",L193&lt;&gt;""),N193-L193,"")</x:f>
      </x:c>
      <x:c r="P193">
        <x:f>IF(AND(N193&lt;&gt;"",M193&lt;&gt;""),IF(N193&lt;=M193,"Yes","No"),"")</x:f>
      </x:c>
      <x:c r="S193" s="8" t="n"/>
      <x:c r="T193">
        <x:f>IF(AND(G193&lt;&gt;"",S193&lt;&gt;""),ROUNDUP(G193*S193,0),"")</x:f>
      </x:c>
      <x:c r="X193">
        <x:f>IF(OR(V193&lt;&gt;"",W193&lt;&gt;""),V193+W193,"")</x:f>
      </x:c>
      <x:c r="Y193" s="9">
        <x:f>IF(AND(X193&lt;&gt;"",T193&lt;&gt;""),X193/T193,"")</x:f>
      </x:c>
    </x:row>
    <x:row r="194">
      <x:c r="L194" s="7" t="n"/>
      <x:c r="M194" s="7" t="n"/>
      <x:c r="N194" s="7" t="n"/>
      <x:c r="O194">
        <x:f>IF(AND(N194&lt;&gt;"",L194&lt;&gt;""),N194-L194,"")</x:f>
      </x:c>
      <x:c r="P194">
        <x:f>IF(AND(N194&lt;&gt;"",M194&lt;&gt;""),IF(N194&lt;=M194,"Yes","No"),"")</x:f>
      </x:c>
      <x:c r="S194" s="8" t="n"/>
      <x:c r="T194">
        <x:f>IF(AND(G194&lt;&gt;"",S194&lt;&gt;""),ROUNDUP(G194*S194,0),"")</x:f>
      </x:c>
      <x:c r="X194">
        <x:f>IF(OR(V194&lt;&gt;"",W194&lt;&gt;""),V194+W194,"")</x:f>
      </x:c>
      <x:c r="Y194" s="9">
        <x:f>IF(AND(X194&lt;&gt;"",T194&lt;&gt;""),X194/T194,"")</x:f>
      </x:c>
    </x:row>
    <x:row r="195">
      <x:c r="L195" s="7" t="n"/>
      <x:c r="M195" s="7" t="n"/>
      <x:c r="N195" s="7" t="n"/>
      <x:c r="O195">
        <x:f>IF(AND(N195&lt;&gt;"",L195&lt;&gt;""),N195-L195,"")</x:f>
      </x:c>
      <x:c r="P195">
        <x:f>IF(AND(N195&lt;&gt;"",M195&lt;&gt;""),IF(N195&lt;=M195,"Yes","No"),"")</x:f>
      </x:c>
      <x:c r="S195" s="8" t="n"/>
      <x:c r="T195">
        <x:f>IF(AND(G195&lt;&gt;"",S195&lt;&gt;""),ROUNDUP(G195*S195,0),"")</x:f>
      </x:c>
      <x:c r="X195">
        <x:f>IF(OR(V195&lt;&gt;"",W195&lt;&gt;""),V195+W195,"")</x:f>
      </x:c>
      <x:c r="Y195" s="9">
        <x:f>IF(AND(X195&lt;&gt;"",T195&lt;&gt;""),X195/T195,"")</x:f>
      </x:c>
    </x:row>
    <x:row r="196">
      <x:c r="L196" s="7" t="n"/>
      <x:c r="M196" s="7" t="n"/>
      <x:c r="N196" s="7" t="n"/>
      <x:c r="O196">
        <x:f>IF(AND(N196&lt;&gt;"",L196&lt;&gt;""),N196-L196,"")</x:f>
      </x:c>
      <x:c r="P196">
        <x:f>IF(AND(N196&lt;&gt;"",M196&lt;&gt;""),IF(N196&lt;=M196,"Yes","No"),"")</x:f>
      </x:c>
      <x:c r="S196" s="8" t="n"/>
      <x:c r="T196">
        <x:f>IF(AND(G196&lt;&gt;"",S196&lt;&gt;""),ROUNDUP(G196*S196,0),"")</x:f>
      </x:c>
      <x:c r="X196">
        <x:f>IF(OR(V196&lt;&gt;"",W196&lt;&gt;""),V196+W196,"")</x:f>
      </x:c>
      <x:c r="Y196" s="9">
        <x:f>IF(AND(X196&lt;&gt;"",T196&lt;&gt;""),X196/T196,"")</x:f>
      </x:c>
    </x:row>
    <x:row r="197">
      <x:c r="L197" s="7" t="n"/>
      <x:c r="M197" s="7" t="n"/>
      <x:c r="N197" s="7" t="n"/>
      <x:c r="O197">
        <x:f>IF(AND(N197&lt;&gt;"",L197&lt;&gt;""),N197-L197,"")</x:f>
      </x:c>
      <x:c r="P197">
        <x:f>IF(AND(N197&lt;&gt;"",M197&lt;&gt;""),IF(N197&lt;=M197,"Yes","No"),"")</x:f>
      </x:c>
      <x:c r="S197" s="8" t="n"/>
      <x:c r="T197">
        <x:f>IF(AND(G197&lt;&gt;"",S197&lt;&gt;""),ROUNDUP(G197*S197,0),"")</x:f>
      </x:c>
      <x:c r="X197">
        <x:f>IF(OR(V197&lt;&gt;"",W197&lt;&gt;""),V197+W197,"")</x:f>
      </x:c>
      <x:c r="Y197" s="9">
        <x:f>IF(AND(X197&lt;&gt;"",T197&lt;&gt;""),X197/T197,"")</x:f>
      </x:c>
    </x:row>
    <x:row r="198">
      <x:c r="L198" s="7" t="n"/>
      <x:c r="M198" s="7" t="n"/>
      <x:c r="N198" s="7" t="n"/>
      <x:c r="O198">
        <x:f>IF(AND(N198&lt;&gt;"",L198&lt;&gt;""),N198-L198,"")</x:f>
      </x:c>
      <x:c r="P198">
        <x:f>IF(AND(N198&lt;&gt;"",M198&lt;&gt;""),IF(N198&lt;=M198,"Yes","No"),"")</x:f>
      </x:c>
      <x:c r="S198" s="8" t="n"/>
      <x:c r="T198">
        <x:f>IF(AND(G198&lt;&gt;"",S198&lt;&gt;""),ROUNDUP(G198*S198,0),"")</x:f>
      </x:c>
      <x:c r="X198">
        <x:f>IF(OR(V198&lt;&gt;"",W198&lt;&gt;""),V198+W198,"")</x:f>
      </x:c>
      <x:c r="Y198" s="9">
        <x:f>IF(AND(X198&lt;&gt;"",T198&lt;&gt;""),X198/T198,"")</x:f>
      </x:c>
    </x:row>
    <x:row r="199">
      <x:c r="L199" s="7" t="n"/>
      <x:c r="M199" s="7" t="n"/>
      <x:c r="N199" s="7" t="n"/>
      <x:c r="O199">
        <x:f>IF(AND(N199&lt;&gt;"",L199&lt;&gt;""),N199-L199,"")</x:f>
      </x:c>
      <x:c r="P199">
        <x:f>IF(AND(N199&lt;&gt;"",M199&lt;&gt;""),IF(N199&lt;=M199,"Yes","No"),"")</x:f>
      </x:c>
      <x:c r="S199" s="8" t="n"/>
      <x:c r="T199">
        <x:f>IF(AND(G199&lt;&gt;"",S199&lt;&gt;""),ROUNDUP(G199*S199,0),"")</x:f>
      </x:c>
      <x:c r="X199">
        <x:f>IF(OR(V199&lt;&gt;"",W199&lt;&gt;""),V199+W199,"")</x:f>
      </x:c>
      <x:c r="Y199" s="9">
        <x:f>IF(AND(X199&lt;&gt;"",T199&lt;&gt;""),X199/T199,"")</x:f>
      </x:c>
    </x:row>
    <x:row r="200">
      <x:c r="L200" s="7" t="n"/>
      <x:c r="M200" s="7" t="n"/>
      <x:c r="N200" s="7" t="n"/>
      <x:c r="O200">
        <x:f>IF(AND(N200&lt;&gt;"",L200&lt;&gt;""),N200-L200,"")</x:f>
      </x:c>
      <x:c r="P200">
        <x:f>IF(AND(N200&lt;&gt;"",M200&lt;&gt;""),IF(N200&lt;=M200,"Yes","No"),"")</x:f>
      </x:c>
      <x:c r="S200" s="8" t="n"/>
      <x:c r="T200">
        <x:f>IF(AND(G200&lt;&gt;"",S200&lt;&gt;""),ROUNDUP(G200*S200,0),"")</x:f>
      </x:c>
      <x:c r="X200">
        <x:f>IF(OR(V200&lt;&gt;"",W200&lt;&gt;""),V200+W200,"")</x:f>
      </x:c>
      <x:c r="Y200" s="9">
        <x:f>IF(AND(X200&lt;&gt;"",T200&lt;&gt;""),X200/T200,"")</x:f>
      </x:c>
    </x:row>
    <x:row r="201">
      <x:c r="L201" s="7" t="n"/>
      <x:c r="M201" s="7" t="n"/>
      <x:c r="N201" s="7" t="n"/>
      <x:c r="O201">
        <x:f>IF(AND(N201&lt;&gt;"",L201&lt;&gt;""),N201-L201,"")</x:f>
      </x:c>
      <x:c r="P201">
        <x:f>IF(AND(N201&lt;&gt;"",M201&lt;&gt;""),IF(N201&lt;=M201,"Yes","No"),"")</x:f>
      </x:c>
      <x:c r="S201" s="8" t="n"/>
      <x:c r="T201">
        <x:f>IF(AND(G201&lt;&gt;"",S201&lt;&gt;""),ROUNDUP(G201*S201,0),"")</x:f>
      </x:c>
      <x:c r="X201">
        <x:f>IF(OR(V201&lt;&gt;"",W201&lt;&gt;""),V201+W201,"")</x:f>
      </x:c>
      <x:c r="Y201" s="9">
        <x:f>IF(AND(X201&lt;&gt;"",T201&lt;&gt;""),X201/T201,"")</x:f>
      </x:c>
    </x:row>
    <x:row r="202">
      <x:c r="L202" s="7" t="n"/>
      <x:c r="M202" s="7" t="n"/>
      <x:c r="N202" s="7" t="n"/>
      <x:c r="O202">
        <x:f>IF(AND(N202&lt;&gt;"",L202&lt;&gt;""),N202-L202,"")</x:f>
      </x:c>
      <x:c r="P202">
        <x:f>IF(AND(N202&lt;&gt;"",M202&lt;&gt;""),IF(N202&lt;=M202,"Yes","No"),"")</x:f>
      </x:c>
      <x:c r="S202" s="8" t="n"/>
      <x:c r="T202">
        <x:f>IF(AND(G202&lt;&gt;"",S202&lt;&gt;""),ROUNDUP(G202*S202,0),"")</x:f>
      </x:c>
      <x:c r="X202">
        <x:f>IF(OR(V202&lt;&gt;"",W202&lt;&gt;""),V202+W202,"")</x:f>
      </x:c>
      <x:c r="Y202" s="9">
        <x:f>IF(AND(X202&lt;&gt;"",T202&lt;&gt;""),X202/T202,"")</x:f>
      </x:c>
    </x:row>
    <x:row r="203">
      <x:c r="L203" s="7" t="n"/>
      <x:c r="M203" s="7" t="n"/>
      <x:c r="N203" s="7" t="n"/>
      <x:c r="O203">
        <x:f>IF(AND(N203&lt;&gt;"",L203&lt;&gt;""),N203-L203,"")</x:f>
      </x:c>
      <x:c r="P203">
        <x:f>IF(AND(N203&lt;&gt;"",M203&lt;&gt;""),IF(N203&lt;=M203,"Yes","No"),"")</x:f>
      </x:c>
      <x:c r="S203" s="8" t="n"/>
      <x:c r="T203">
        <x:f>IF(AND(G203&lt;&gt;"",S203&lt;&gt;""),ROUNDUP(G203*S203,0),"")</x:f>
      </x:c>
      <x:c r="X203">
        <x:f>IF(OR(V203&lt;&gt;"",W203&lt;&gt;""),V203+W203,"")</x:f>
      </x:c>
      <x:c r="Y203" s="9">
        <x:f>IF(AND(X203&lt;&gt;"",T203&lt;&gt;""),X203/T203,"")</x:f>
      </x:c>
    </x:row>
    <x:row r="204">
      <x:c r="L204" s="7" t="n"/>
      <x:c r="M204" s="7" t="n"/>
      <x:c r="N204" s="7" t="n"/>
      <x:c r="O204">
        <x:f>IF(AND(N204&lt;&gt;"",L204&lt;&gt;""),N204-L204,"")</x:f>
      </x:c>
      <x:c r="P204">
        <x:f>IF(AND(N204&lt;&gt;"",M204&lt;&gt;""),IF(N204&lt;=M204,"Yes","No"),"")</x:f>
      </x:c>
      <x:c r="S204" s="8" t="n"/>
      <x:c r="T204">
        <x:f>IF(AND(G204&lt;&gt;"",S204&lt;&gt;""),ROUNDUP(G204*S204,0),"")</x:f>
      </x:c>
      <x:c r="X204">
        <x:f>IF(OR(V204&lt;&gt;"",W204&lt;&gt;""),V204+W204,"")</x:f>
      </x:c>
      <x:c r="Y204" s="9">
        <x:f>IF(AND(X204&lt;&gt;"",T204&lt;&gt;""),X204/T204,"")</x:f>
      </x:c>
    </x:row>
    <x:row r="205">
      <x:c r="L205" s="7" t="n"/>
      <x:c r="M205" s="7" t="n"/>
      <x:c r="N205" s="7" t="n"/>
      <x:c r="O205">
        <x:f>IF(AND(N205&lt;&gt;"",L205&lt;&gt;""),N205-L205,"")</x:f>
      </x:c>
      <x:c r="P205">
        <x:f>IF(AND(N205&lt;&gt;"",M205&lt;&gt;""),IF(N205&lt;=M205,"Yes","No"),"")</x:f>
      </x:c>
      <x:c r="S205" s="8" t="n"/>
      <x:c r="T205">
        <x:f>IF(AND(G205&lt;&gt;"",S205&lt;&gt;""),ROUNDUP(G205*S205,0),"")</x:f>
      </x:c>
      <x:c r="X205">
        <x:f>IF(OR(V205&lt;&gt;"",W205&lt;&gt;""),V205+W205,"")</x:f>
      </x:c>
      <x:c r="Y205" s="9">
        <x:f>IF(AND(X205&lt;&gt;"",T205&lt;&gt;""),X205/T205,"")</x:f>
      </x:c>
    </x:row>
    <x:row r="206">
      <x:c r="L206" s="7" t="n"/>
      <x:c r="M206" s="7" t="n"/>
      <x:c r="N206" s="7" t="n"/>
      <x:c r="O206">
        <x:f>IF(AND(N206&lt;&gt;"",L206&lt;&gt;""),N206-L206,"")</x:f>
      </x:c>
      <x:c r="P206">
        <x:f>IF(AND(N206&lt;&gt;"",M206&lt;&gt;""),IF(N206&lt;=M206,"Yes","No"),"")</x:f>
      </x:c>
      <x:c r="S206" s="8" t="n"/>
      <x:c r="T206">
        <x:f>IF(AND(G206&lt;&gt;"",S206&lt;&gt;""),ROUNDUP(G206*S206,0),"")</x:f>
      </x:c>
      <x:c r="X206">
        <x:f>IF(OR(V206&lt;&gt;"",W206&lt;&gt;""),V206+W206,"")</x:f>
      </x:c>
      <x:c r="Y206" s="9">
        <x:f>IF(AND(X206&lt;&gt;"",T206&lt;&gt;""),X206/T206,"")</x:f>
      </x:c>
    </x:row>
    <x:row r="207">
      <x:c r="L207" s="7" t="n"/>
      <x:c r="M207" s="7" t="n"/>
      <x:c r="N207" s="7" t="n"/>
      <x:c r="O207">
        <x:f>IF(AND(N207&lt;&gt;"",L207&lt;&gt;""),N207-L207,"")</x:f>
      </x:c>
      <x:c r="P207">
        <x:f>IF(AND(N207&lt;&gt;"",M207&lt;&gt;""),IF(N207&lt;=M207,"Yes","No"),"")</x:f>
      </x:c>
      <x:c r="S207" s="8" t="n"/>
      <x:c r="T207">
        <x:f>IF(AND(G207&lt;&gt;"",S207&lt;&gt;""),ROUNDUP(G207*S207,0),"")</x:f>
      </x:c>
      <x:c r="X207">
        <x:f>IF(OR(V207&lt;&gt;"",W207&lt;&gt;""),V207+W207,"")</x:f>
      </x:c>
      <x:c r="Y207" s="9">
        <x:f>IF(AND(X207&lt;&gt;"",T207&lt;&gt;""),X207/T207,"")</x:f>
      </x:c>
    </x:row>
    <x:row r="208">
      <x:c r="L208" s="7" t="n"/>
      <x:c r="M208" s="7" t="n"/>
      <x:c r="N208" s="7" t="n"/>
      <x:c r="O208">
        <x:f>IF(AND(N208&lt;&gt;"",L208&lt;&gt;""),N208-L208,"")</x:f>
      </x:c>
      <x:c r="P208">
        <x:f>IF(AND(N208&lt;&gt;"",M208&lt;&gt;""),IF(N208&lt;=M208,"Yes","No"),"")</x:f>
      </x:c>
      <x:c r="S208" s="8" t="n"/>
      <x:c r="T208">
        <x:f>IF(AND(G208&lt;&gt;"",S208&lt;&gt;""),ROUNDUP(G208*S208,0),"")</x:f>
      </x:c>
      <x:c r="X208">
        <x:f>IF(OR(V208&lt;&gt;"",W208&lt;&gt;""),V208+W208,"")</x:f>
      </x:c>
      <x:c r="Y208" s="9">
        <x:f>IF(AND(X208&lt;&gt;"",T208&lt;&gt;""),X208/T208,"")</x:f>
      </x:c>
    </x:row>
    <x:row r="209">
      <x:c r="L209" s="7" t="n"/>
      <x:c r="M209" s="7" t="n"/>
      <x:c r="N209" s="7" t="n"/>
      <x:c r="O209">
        <x:f>IF(AND(N209&lt;&gt;"",L209&lt;&gt;""),N209-L209,"")</x:f>
      </x:c>
      <x:c r="P209">
        <x:f>IF(AND(N209&lt;&gt;"",M209&lt;&gt;""),IF(N209&lt;=M209,"Yes","No"),"")</x:f>
      </x:c>
      <x:c r="S209" s="8" t="n"/>
      <x:c r="T209">
        <x:f>IF(AND(G209&lt;&gt;"",S209&lt;&gt;""),ROUNDUP(G209*S209,0),"")</x:f>
      </x:c>
      <x:c r="X209">
        <x:f>IF(OR(V209&lt;&gt;"",W209&lt;&gt;""),V209+W209,"")</x:f>
      </x:c>
      <x:c r="Y209" s="9">
        <x:f>IF(AND(X209&lt;&gt;"",T209&lt;&gt;""),X209/T209,"")</x:f>
      </x:c>
    </x:row>
    <x:row r="210">
      <x:c r="L210" s="7" t="n"/>
      <x:c r="M210" s="7" t="n"/>
      <x:c r="N210" s="7" t="n"/>
      <x:c r="O210">
        <x:f>IF(AND(N210&lt;&gt;"",L210&lt;&gt;""),N210-L210,"")</x:f>
      </x:c>
      <x:c r="P210">
        <x:f>IF(AND(N210&lt;&gt;"",M210&lt;&gt;""),IF(N210&lt;=M210,"Yes","No"),"")</x:f>
      </x:c>
      <x:c r="S210" s="8" t="n"/>
      <x:c r="T210">
        <x:f>IF(AND(G210&lt;&gt;"",S210&lt;&gt;""),ROUNDUP(G210*S210,0),"")</x:f>
      </x:c>
      <x:c r="X210">
        <x:f>IF(OR(V210&lt;&gt;"",W210&lt;&gt;""),V210+W210,"")</x:f>
      </x:c>
      <x:c r="Y210" s="9">
        <x:f>IF(AND(X210&lt;&gt;"",T210&lt;&gt;""),X210/T210,"")</x:f>
      </x:c>
    </x:row>
    <x:row r="211">
      <x:c r="L211" s="7" t="n"/>
      <x:c r="M211" s="7" t="n"/>
      <x:c r="N211" s="7" t="n"/>
      <x:c r="O211">
        <x:f>IF(AND(N211&lt;&gt;"",L211&lt;&gt;""),N211-L211,"")</x:f>
      </x:c>
      <x:c r="P211">
        <x:f>IF(AND(N211&lt;&gt;"",M211&lt;&gt;""),IF(N211&lt;=M211,"Yes","No"),"")</x:f>
      </x:c>
      <x:c r="S211" s="8" t="n"/>
      <x:c r="T211">
        <x:f>IF(AND(G211&lt;&gt;"",S211&lt;&gt;""),ROUNDUP(G211*S211,0),"")</x:f>
      </x:c>
      <x:c r="X211">
        <x:f>IF(OR(V211&lt;&gt;"",W211&lt;&gt;""),V211+W211,"")</x:f>
      </x:c>
      <x:c r="Y211" s="9">
        <x:f>IF(AND(X211&lt;&gt;"",T211&lt;&gt;""),X211/T211,"")</x:f>
      </x:c>
    </x:row>
    <x:row r="212">
      <x:c r="L212" s="7" t="n"/>
      <x:c r="M212" s="7" t="n"/>
      <x:c r="N212" s="7" t="n"/>
      <x:c r="O212">
        <x:f>IF(AND(N212&lt;&gt;"",L212&lt;&gt;""),N212-L212,"")</x:f>
      </x:c>
      <x:c r="P212">
        <x:f>IF(AND(N212&lt;&gt;"",M212&lt;&gt;""),IF(N212&lt;=M212,"Yes","No"),"")</x:f>
      </x:c>
      <x:c r="S212" s="8" t="n"/>
      <x:c r="T212">
        <x:f>IF(AND(G212&lt;&gt;"",S212&lt;&gt;""),ROUNDUP(G212*S212,0),"")</x:f>
      </x:c>
      <x:c r="X212">
        <x:f>IF(OR(V212&lt;&gt;"",W212&lt;&gt;""),V212+W212,"")</x:f>
      </x:c>
      <x:c r="Y212" s="9">
        <x:f>IF(AND(X212&lt;&gt;"",T212&lt;&gt;""),X212/T212,"")</x:f>
      </x:c>
    </x:row>
    <x:row r="213">
      <x:c r="L213" s="7" t="n"/>
      <x:c r="M213" s="7" t="n"/>
      <x:c r="N213" s="7" t="n"/>
      <x:c r="O213">
        <x:f>IF(AND(N213&lt;&gt;"",L213&lt;&gt;""),N213-L213,"")</x:f>
      </x:c>
      <x:c r="P213">
        <x:f>IF(AND(N213&lt;&gt;"",M213&lt;&gt;""),IF(N213&lt;=M213,"Yes","No"),"")</x:f>
      </x:c>
      <x:c r="S213" s="8" t="n"/>
      <x:c r="T213">
        <x:f>IF(AND(G213&lt;&gt;"",S213&lt;&gt;""),ROUNDUP(G213*S213,0),"")</x:f>
      </x:c>
      <x:c r="X213">
        <x:f>IF(OR(V213&lt;&gt;"",W213&lt;&gt;""),V213+W213,"")</x:f>
      </x:c>
      <x:c r="Y213" s="9">
        <x:f>IF(AND(X213&lt;&gt;"",T213&lt;&gt;""),X213/T213,"")</x:f>
      </x:c>
    </x:row>
    <x:row r="214">
      <x:c r="L214" s="7" t="n"/>
      <x:c r="M214" s="7" t="n"/>
      <x:c r="N214" s="7" t="n"/>
      <x:c r="O214">
        <x:f>IF(AND(N214&lt;&gt;"",L214&lt;&gt;""),N214-L214,"")</x:f>
      </x:c>
      <x:c r="P214">
        <x:f>IF(AND(N214&lt;&gt;"",M214&lt;&gt;""),IF(N214&lt;=M214,"Yes","No"),"")</x:f>
      </x:c>
      <x:c r="S214" s="8" t="n"/>
      <x:c r="T214">
        <x:f>IF(AND(G214&lt;&gt;"",S214&lt;&gt;""),ROUNDUP(G214*S214,0),"")</x:f>
      </x:c>
      <x:c r="X214">
        <x:f>IF(OR(V214&lt;&gt;"",W214&lt;&gt;""),V214+W214,"")</x:f>
      </x:c>
      <x:c r="Y214" s="9">
        <x:f>IF(AND(X214&lt;&gt;"",T214&lt;&gt;""),X214/T214,"")</x:f>
      </x:c>
    </x:row>
    <x:row r="215">
      <x:c r="L215" s="7" t="n"/>
      <x:c r="M215" s="7" t="n"/>
      <x:c r="N215" s="7" t="n"/>
      <x:c r="O215">
        <x:f>IF(AND(N215&lt;&gt;"",L215&lt;&gt;""),N215-L215,"")</x:f>
      </x:c>
      <x:c r="P215">
        <x:f>IF(AND(N215&lt;&gt;"",M215&lt;&gt;""),IF(N215&lt;=M215,"Yes","No"),"")</x:f>
      </x:c>
      <x:c r="S215" s="8" t="n"/>
      <x:c r="T215">
        <x:f>IF(AND(G215&lt;&gt;"",S215&lt;&gt;""),ROUNDUP(G215*S215,0),"")</x:f>
      </x:c>
      <x:c r="X215">
        <x:f>IF(OR(V215&lt;&gt;"",W215&lt;&gt;""),V215+W215,"")</x:f>
      </x:c>
      <x:c r="Y215" s="9">
        <x:f>IF(AND(X215&lt;&gt;"",T215&lt;&gt;""),X215/T215,"")</x:f>
      </x:c>
    </x:row>
    <x:row r="216">
      <x:c r="L216" s="7" t="n"/>
      <x:c r="M216" s="7" t="n"/>
      <x:c r="N216" s="7" t="n"/>
      <x:c r="O216">
        <x:f>IF(AND(N216&lt;&gt;"",L216&lt;&gt;""),N216-L216,"")</x:f>
      </x:c>
      <x:c r="P216">
        <x:f>IF(AND(N216&lt;&gt;"",M216&lt;&gt;""),IF(N216&lt;=M216,"Yes","No"),"")</x:f>
      </x:c>
      <x:c r="S216" s="8" t="n"/>
      <x:c r="T216">
        <x:f>IF(AND(G216&lt;&gt;"",S216&lt;&gt;""),ROUNDUP(G216*S216,0),"")</x:f>
      </x:c>
      <x:c r="X216">
        <x:f>IF(OR(V216&lt;&gt;"",W216&lt;&gt;""),V216+W216,"")</x:f>
      </x:c>
      <x:c r="Y216" s="9">
        <x:f>IF(AND(X216&lt;&gt;"",T216&lt;&gt;""),X216/T216,"")</x:f>
      </x:c>
    </x:row>
    <x:row r="217">
      <x:c r="L217" s="7" t="n"/>
      <x:c r="M217" s="7" t="n"/>
      <x:c r="N217" s="7" t="n"/>
      <x:c r="O217">
        <x:f>IF(AND(N217&lt;&gt;"",L217&lt;&gt;""),N217-L217,"")</x:f>
      </x:c>
      <x:c r="P217">
        <x:f>IF(AND(N217&lt;&gt;"",M217&lt;&gt;""),IF(N217&lt;=M217,"Yes","No"),"")</x:f>
      </x:c>
      <x:c r="S217" s="8" t="n"/>
      <x:c r="T217">
        <x:f>IF(AND(G217&lt;&gt;"",S217&lt;&gt;""),ROUNDUP(G217*S217,0),"")</x:f>
      </x:c>
      <x:c r="X217">
        <x:f>IF(OR(V217&lt;&gt;"",W217&lt;&gt;""),V217+W217,"")</x:f>
      </x:c>
      <x:c r="Y217" s="9">
        <x:f>IF(AND(X217&lt;&gt;"",T217&lt;&gt;""),X217/T217,"")</x:f>
      </x:c>
    </x:row>
    <x:row r="218">
      <x:c r="L218" s="7" t="n"/>
      <x:c r="M218" s="7" t="n"/>
      <x:c r="N218" s="7" t="n"/>
      <x:c r="O218">
        <x:f>IF(AND(N218&lt;&gt;"",L218&lt;&gt;""),N218-L218,"")</x:f>
      </x:c>
      <x:c r="P218">
        <x:f>IF(AND(N218&lt;&gt;"",M218&lt;&gt;""),IF(N218&lt;=M218,"Yes","No"),"")</x:f>
      </x:c>
      <x:c r="S218" s="8" t="n"/>
      <x:c r="T218">
        <x:f>IF(AND(G218&lt;&gt;"",S218&lt;&gt;""),ROUNDUP(G218*S218,0),"")</x:f>
      </x:c>
      <x:c r="X218">
        <x:f>IF(OR(V218&lt;&gt;"",W218&lt;&gt;""),V218+W218,"")</x:f>
      </x:c>
      <x:c r="Y218" s="9">
        <x:f>IF(AND(X218&lt;&gt;"",T218&lt;&gt;""),X218/T218,"")</x:f>
      </x:c>
    </x:row>
    <x:row r="219">
      <x:c r="L219" s="7" t="n"/>
      <x:c r="M219" s="7" t="n"/>
      <x:c r="N219" s="7" t="n"/>
      <x:c r="O219">
        <x:f>IF(AND(N219&lt;&gt;"",L219&lt;&gt;""),N219-L219,"")</x:f>
      </x:c>
      <x:c r="P219">
        <x:f>IF(AND(N219&lt;&gt;"",M219&lt;&gt;""),IF(N219&lt;=M219,"Yes","No"),"")</x:f>
      </x:c>
      <x:c r="S219" s="8" t="n"/>
      <x:c r="T219">
        <x:f>IF(AND(G219&lt;&gt;"",S219&lt;&gt;""),ROUNDUP(G219*S219,0),"")</x:f>
      </x:c>
      <x:c r="X219">
        <x:f>IF(OR(V219&lt;&gt;"",W219&lt;&gt;""),V219+W219,"")</x:f>
      </x:c>
      <x:c r="Y219" s="9">
        <x:f>IF(AND(X219&lt;&gt;"",T219&lt;&gt;""),X219/T219,"")</x:f>
      </x:c>
    </x:row>
    <x:row r="220">
      <x:c r="L220" s="7" t="n"/>
      <x:c r="M220" s="7" t="n"/>
      <x:c r="N220" s="7" t="n"/>
      <x:c r="O220">
        <x:f>IF(AND(N220&lt;&gt;"",L220&lt;&gt;""),N220-L220,"")</x:f>
      </x:c>
      <x:c r="P220">
        <x:f>IF(AND(N220&lt;&gt;"",M220&lt;&gt;""),IF(N220&lt;=M220,"Yes","No"),"")</x:f>
      </x:c>
      <x:c r="S220" s="8" t="n"/>
      <x:c r="T220">
        <x:f>IF(AND(G220&lt;&gt;"",S220&lt;&gt;""),ROUNDUP(G220*S220,0),"")</x:f>
      </x:c>
      <x:c r="X220">
        <x:f>IF(OR(V220&lt;&gt;"",W220&lt;&gt;""),V220+W220,"")</x:f>
      </x:c>
      <x:c r="Y220" s="9">
        <x:f>IF(AND(X220&lt;&gt;"",T220&lt;&gt;""),X220/T220,"")</x:f>
      </x:c>
    </x:row>
    <x:row r="221">
      <x:c r="L221" s="7" t="n"/>
      <x:c r="M221" s="7" t="n"/>
      <x:c r="N221" s="7" t="n"/>
      <x:c r="O221">
        <x:f>IF(AND(N221&lt;&gt;"",L221&lt;&gt;""),N221-L221,"")</x:f>
      </x:c>
      <x:c r="P221">
        <x:f>IF(AND(N221&lt;&gt;"",M221&lt;&gt;""),IF(N221&lt;=M221,"Yes","No"),"")</x:f>
      </x:c>
      <x:c r="S221" s="8" t="n"/>
      <x:c r="T221">
        <x:f>IF(AND(G221&lt;&gt;"",S221&lt;&gt;""),ROUNDUP(G221*S221,0),"")</x:f>
      </x:c>
      <x:c r="X221">
        <x:f>IF(OR(V221&lt;&gt;"",W221&lt;&gt;""),V221+W221,"")</x:f>
      </x:c>
      <x:c r="Y221" s="9">
        <x:f>IF(AND(X221&lt;&gt;"",T221&lt;&gt;""),X221/T221,"")</x:f>
      </x:c>
    </x:row>
    <x:row r="222">
      <x:c r="L222" s="7" t="n"/>
      <x:c r="M222" s="7" t="n"/>
      <x:c r="N222" s="7" t="n"/>
      <x:c r="O222">
        <x:f>IF(AND(N222&lt;&gt;"",L222&lt;&gt;""),N222-L222,"")</x:f>
      </x:c>
      <x:c r="P222">
        <x:f>IF(AND(N222&lt;&gt;"",M222&lt;&gt;""),IF(N222&lt;=M222,"Yes","No"),"")</x:f>
      </x:c>
      <x:c r="S222" s="8" t="n"/>
      <x:c r="T222">
        <x:f>IF(AND(G222&lt;&gt;"",S222&lt;&gt;""),ROUNDUP(G222*S222,0),"")</x:f>
      </x:c>
      <x:c r="X222">
        <x:f>IF(OR(V222&lt;&gt;"",W222&lt;&gt;""),V222+W222,"")</x:f>
      </x:c>
      <x:c r="Y222" s="9">
        <x:f>IF(AND(X222&lt;&gt;"",T222&lt;&gt;""),X222/T222,"")</x:f>
      </x:c>
    </x:row>
    <x:row r="223">
      <x:c r="L223" s="7" t="n"/>
      <x:c r="M223" s="7" t="n"/>
      <x:c r="N223" s="7" t="n"/>
      <x:c r="O223">
        <x:f>IF(AND(N223&lt;&gt;"",L223&lt;&gt;""),N223-L223,"")</x:f>
      </x:c>
      <x:c r="P223">
        <x:f>IF(AND(N223&lt;&gt;"",M223&lt;&gt;""),IF(N223&lt;=M223,"Yes","No"),"")</x:f>
      </x:c>
      <x:c r="S223" s="8" t="n"/>
      <x:c r="T223">
        <x:f>IF(AND(G223&lt;&gt;"",S223&lt;&gt;""),ROUNDUP(G223*S223,0),"")</x:f>
      </x:c>
      <x:c r="X223">
        <x:f>IF(OR(V223&lt;&gt;"",W223&lt;&gt;""),V223+W223,"")</x:f>
      </x:c>
      <x:c r="Y223" s="9">
        <x:f>IF(AND(X223&lt;&gt;"",T223&lt;&gt;""),X223/T223,"")</x:f>
      </x:c>
    </x:row>
    <x:row r="224">
      <x:c r="L224" s="7" t="n"/>
      <x:c r="M224" s="7" t="n"/>
      <x:c r="N224" s="7" t="n"/>
      <x:c r="O224">
        <x:f>IF(AND(N224&lt;&gt;"",L224&lt;&gt;""),N224-L224,"")</x:f>
      </x:c>
      <x:c r="P224">
        <x:f>IF(AND(N224&lt;&gt;"",M224&lt;&gt;""),IF(N224&lt;=M224,"Yes","No"),"")</x:f>
      </x:c>
      <x:c r="S224" s="8" t="n"/>
      <x:c r="T224">
        <x:f>IF(AND(G224&lt;&gt;"",S224&lt;&gt;""),ROUNDUP(G224*S224,0),"")</x:f>
      </x:c>
      <x:c r="X224">
        <x:f>IF(OR(V224&lt;&gt;"",W224&lt;&gt;""),V224+W224,"")</x:f>
      </x:c>
      <x:c r="Y224" s="9">
        <x:f>IF(AND(X224&lt;&gt;"",T224&lt;&gt;""),X224/T224,"")</x:f>
      </x:c>
    </x:row>
    <x:row r="225">
      <x:c r="L225" s="7" t="n"/>
      <x:c r="M225" s="7" t="n"/>
      <x:c r="N225" s="7" t="n"/>
      <x:c r="O225">
        <x:f>IF(AND(N225&lt;&gt;"",L225&lt;&gt;""),N225-L225,"")</x:f>
      </x:c>
      <x:c r="P225">
        <x:f>IF(AND(N225&lt;&gt;"",M225&lt;&gt;""),IF(N225&lt;=M225,"Yes","No"),"")</x:f>
      </x:c>
      <x:c r="S225" s="8" t="n"/>
      <x:c r="T225">
        <x:f>IF(AND(G225&lt;&gt;"",S225&lt;&gt;""),ROUNDUP(G225*S225,0),"")</x:f>
      </x:c>
      <x:c r="X225">
        <x:f>IF(OR(V225&lt;&gt;"",W225&lt;&gt;""),V225+W225,"")</x:f>
      </x:c>
      <x:c r="Y225" s="9">
        <x:f>IF(AND(X225&lt;&gt;"",T225&lt;&gt;""),X225/T225,"")</x:f>
      </x:c>
    </x:row>
    <x:row r="226">
      <x:c r="L226" s="7" t="n"/>
      <x:c r="M226" s="7" t="n"/>
      <x:c r="N226" s="7" t="n"/>
      <x:c r="O226">
        <x:f>IF(AND(N226&lt;&gt;"",L226&lt;&gt;""),N226-L226,"")</x:f>
      </x:c>
      <x:c r="P226">
        <x:f>IF(AND(N226&lt;&gt;"",M226&lt;&gt;""),IF(N226&lt;=M226,"Yes","No"),"")</x:f>
      </x:c>
      <x:c r="S226" s="8" t="n"/>
      <x:c r="T226">
        <x:f>IF(AND(G226&lt;&gt;"",S226&lt;&gt;""),ROUNDUP(G226*S226,0),"")</x:f>
      </x:c>
      <x:c r="X226">
        <x:f>IF(OR(V226&lt;&gt;"",W226&lt;&gt;""),V226+W226,"")</x:f>
      </x:c>
      <x:c r="Y226" s="9">
        <x:f>IF(AND(X226&lt;&gt;"",T226&lt;&gt;""),X226/T226,"")</x:f>
      </x:c>
    </x:row>
    <x:row r="227">
      <x:c r="L227" s="7" t="n"/>
      <x:c r="M227" s="7" t="n"/>
      <x:c r="N227" s="7" t="n"/>
      <x:c r="O227">
        <x:f>IF(AND(N227&lt;&gt;"",L227&lt;&gt;""),N227-L227,"")</x:f>
      </x:c>
      <x:c r="P227">
        <x:f>IF(AND(N227&lt;&gt;"",M227&lt;&gt;""),IF(N227&lt;=M227,"Yes","No"),"")</x:f>
      </x:c>
      <x:c r="S227" s="8" t="n"/>
      <x:c r="T227">
        <x:f>IF(AND(G227&lt;&gt;"",S227&lt;&gt;""),ROUNDUP(G227*S227,0),"")</x:f>
      </x:c>
      <x:c r="X227">
        <x:f>IF(OR(V227&lt;&gt;"",W227&lt;&gt;""),V227+W227,"")</x:f>
      </x:c>
      <x:c r="Y227" s="9">
        <x:f>IF(AND(X227&lt;&gt;"",T227&lt;&gt;""),X227/T227,"")</x:f>
      </x:c>
    </x:row>
    <x:row r="228">
      <x:c r="L228" s="7" t="n"/>
      <x:c r="M228" s="7" t="n"/>
      <x:c r="N228" s="7" t="n"/>
      <x:c r="O228">
        <x:f>IF(AND(N228&lt;&gt;"",L228&lt;&gt;""),N228-L228,"")</x:f>
      </x:c>
      <x:c r="P228">
        <x:f>IF(AND(N228&lt;&gt;"",M228&lt;&gt;""),IF(N228&lt;=M228,"Yes","No"),"")</x:f>
      </x:c>
      <x:c r="S228" s="8" t="n"/>
      <x:c r="T228">
        <x:f>IF(AND(G228&lt;&gt;"",S228&lt;&gt;""),ROUNDUP(G228*S228,0),"")</x:f>
      </x:c>
      <x:c r="X228">
        <x:f>IF(OR(V228&lt;&gt;"",W228&lt;&gt;""),V228+W228,"")</x:f>
      </x:c>
      <x:c r="Y228" s="9">
        <x:f>IF(AND(X228&lt;&gt;"",T228&lt;&gt;""),X228/T228,"")</x:f>
      </x:c>
    </x:row>
    <x:row r="229">
      <x:c r="L229" s="7" t="n"/>
      <x:c r="M229" s="7" t="n"/>
      <x:c r="N229" s="7" t="n"/>
      <x:c r="O229">
        <x:f>IF(AND(N229&lt;&gt;"",L229&lt;&gt;""),N229-L229,"")</x:f>
      </x:c>
      <x:c r="P229">
        <x:f>IF(AND(N229&lt;&gt;"",M229&lt;&gt;""),IF(N229&lt;=M229,"Yes","No"),"")</x:f>
      </x:c>
      <x:c r="S229" s="8" t="n"/>
      <x:c r="T229">
        <x:f>IF(AND(G229&lt;&gt;"",S229&lt;&gt;""),ROUNDUP(G229*S229,0),"")</x:f>
      </x:c>
      <x:c r="X229">
        <x:f>IF(OR(V229&lt;&gt;"",W229&lt;&gt;""),V229+W229,"")</x:f>
      </x:c>
      <x:c r="Y229" s="9">
        <x:f>IF(AND(X229&lt;&gt;"",T229&lt;&gt;""),X229/T229,"")</x:f>
      </x:c>
    </x:row>
    <x:row r="230">
      <x:c r="L230" s="7" t="n"/>
      <x:c r="M230" s="7" t="n"/>
      <x:c r="N230" s="7" t="n"/>
      <x:c r="O230">
        <x:f>IF(AND(N230&lt;&gt;"",L230&lt;&gt;""),N230-L230,"")</x:f>
      </x:c>
      <x:c r="P230">
        <x:f>IF(AND(N230&lt;&gt;"",M230&lt;&gt;""),IF(N230&lt;=M230,"Yes","No"),"")</x:f>
      </x:c>
      <x:c r="S230" s="8" t="n"/>
      <x:c r="T230">
        <x:f>IF(AND(G230&lt;&gt;"",S230&lt;&gt;""),ROUNDUP(G230*S230,0),"")</x:f>
      </x:c>
      <x:c r="X230">
        <x:f>IF(OR(V230&lt;&gt;"",W230&lt;&gt;""),V230+W230,"")</x:f>
      </x:c>
      <x:c r="Y230" s="9">
        <x:f>IF(AND(X230&lt;&gt;"",T230&lt;&gt;""),X230/T230,"")</x:f>
      </x:c>
    </x:row>
    <x:row r="231">
      <x:c r="L231" s="7" t="n"/>
      <x:c r="M231" s="7" t="n"/>
      <x:c r="N231" s="7" t="n"/>
      <x:c r="O231">
        <x:f>IF(AND(N231&lt;&gt;"",L231&lt;&gt;""),N231-L231,"")</x:f>
      </x:c>
      <x:c r="P231">
        <x:f>IF(AND(N231&lt;&gt;"",M231&lt;&gt;""),IF(N231&lt;=M231,"Yes","No"),"")</x:f>
      </x:c>
      <x:c r="S231" s="8" t="n"/>
      <x:c r="T231">
        <x:f>IF(AND(G231&lt;&gt;"",S231&lt;&gt;""),ROUNDUP(G231*S231,0),"")</x:f>
      </x:c>
      <x:c r="X231">
        <x:f>IF(OR(V231&lt;&gt;"",W231&lt;&gt;""),V231+W231,"")</x:f>
      </x:c>
      <x:c r="Y231" s="9">
        <x:f>IF(AND(X231&lt;&gt;"",T231&lt;&gt;""),X231/T231,"")</x:f>
      </x:c>
    </x:row>
    <x:row r="232">
      <x:c r="L232" s="7" t="n"/>
      <x:c r="M232" s="7" t="n"/>
      <x:c r="N232" s="7" t="n"/>
      <x:c r="O232">
        <x:f>IF(AND(N232&lt;&gt;"",L232&lt;&gt;""),N232-L232,"")</x:f>
      </x:c>
      <x:c r="P232">
        <x:f>IF(AND(N232&lt;&gt;"",M232&lt;&gt;""),IF(N232&lt;=M232,"Yes","No"),"")</x:f>
      </x:c>
      <x:c r="S232" s="8" t="n"/>
      <x:c r="T232">
        <x:f>IF(AND(G232&lt;&gt;"",S232&lt;&gt;""),ROUNDUP(G232*S232,0),"")</x:f>
      </x:c>
      <x:c r="X232">
        <x:f>IF(OR(V232&lt;&gt;"",W232&lt;&gt;""),V232+W232,"")</x:f>
      </x:c>
      <x:c r="Y232" s="9">
        <x:f>IF(AND(X232&lt;&gt;"",T232&lt;&gt;""),X232/T232,"")</x:f>
      </x:c>
    </x:row>
    <x:row r="233">
      <x:c r="L233" s="7" t="n"/>
      <x:c r="M233" s="7" t="n"/>
      <x:c r="N233" s="7" t="n"/>
      <x:c r="O233">
        <x:f>IF(AND(N233&lt;&gt;"",L233&lt;&gt;""),N233-L233,"")</x:f>
      </x:c>
      <x:c r="P233">
        <x:f>IF(AND(N233&lt;&gt;"",M233&lt;&gt;""),IF(N233&lt;=M233,"Yes","No"),"")</x:f>
      </x:c>
      <x:c r="S233" s="8" t="n"/>
      <x:c r="T233">
        <x:f>IF(AND(G233&lt;&gt;"",S233&lt;&gt;""),ROUNDUP(G233*S233,0),"")</x:f>
      </x:c>
      <x:c r="X233">
        <x:f>IF(OR(V233&lt;&gt;"",W233&lt;&gt;""),V233+W233,"")</x:f>
      </x:c>
      <x:c r="Y233" s="9">
        <x:f>IF(AND(X233&lt;&gt;"",T233&lt;&gt;""),X233/T233,"")</x:f>
      </x:c>
    </x:row>
    <x:row r="234">
      <x:c r="L234" s="7" t="n"/>
      <x:c r="M234" s="7" t="n"/>
      <x:c r="N234" s="7" t="n"/>
      <x:c r="O234">
        <x:f>IF(AND(N234&lt;&gt;"",L234&lt;&gt;""),N234-L234,"")</x:f>
      </x:c>
      <x:c r="P234">
        <x:f>IF(AND(N234&lt;&gt;"",M234&lt;&gt;""),IF(N234&lt;=M234,"Yes","No"),"")</x:f>
      </x:c>
      <x:c r="S234" s="8" t="n"/>
      <x:c r="T234">
        <x:f>IF(AND(G234&lt;&gt;"",S234&lt;&gt;""),ROUNDUP(G234*S234,0),"")</x:f>
      </x:c>
      <x:c r="X234">
        <x:f>IF(OR(V234&lt;&gt;"",W234&lt;&gt;""),V234+W234,"")</x:f>
      </x:c>
      <x:c r="Y234" s="9">
        <x:f>IF(AND(X234&lt;&gt;"",T234&lt;&gt;""),X234/T234,"")</x:f>
      </x:c>
    </x:row>
    <x:row r="235">
      <x:c r="L235" s="7" t="n"/>
      <x:c r="M235" s="7" t="n"/>
      <x:c r="N235" s="7" t="n"/>
      <x:c r="O235">
        <x:f>IF(AND(N235&lt;&gt;"",L235&lt;&gt;""),N235-L235,"")</x:f>
      </x:c>
      <x:c r="P235">
        <x:f>IF(AND(N235&lt;&gt;"",M235&lt;&gt;""),IF(N235&lt;=M235,"Yes","No"),"")</x:f>
      </x:c>
      <x:c r="S235" s="8" t="n"/>
      <x:c r="T235">
        <x:f>IF(AND(G235&lt;&gt;"",S235&lt;&gt;""),ROUNDUP(G235*S235,0),"")</x:f>
      </x:c>
      <x:c r="X235">
        <x:f>IF(OR(V235&lt;&gt;"",W235&lt;&gt;""),V235+W235,"")</x:f>
      </x:c>
      <x:c r="Y235" s="9">
        <x:f>IF(AND(X235&lt;&gt;"",T235&lt;&gt;""),X235/T235,"")</x:f>
      </x:c>
    </x:row>
    <x:row r="236">
      <x:c r="L236" s="7" t="n"/>
      <x:c r="M236" s="7" t="n"/>
      <x:c r="N236" s="7" t="n"/>
      <x:c r="O236">
        <x:f>IF(AND(N236&lt;&gt;"",L236&lt;&gt;""),N236-L236,"")</x:f>
      </x:c>
      <x:c r="P236">
        <x:f>IF(AND(N236&lt;&gt;"",M236&lt;&gt;""),IF(N236&lt;=M236,"Yes","No"),"")</x:f>
      </x:c>
      <x:c r="S236" s="8" t="n"/>
      <x:c r="T236">
        <x:f>IF(AND(G236&lt;&gt;"",S236&lt;&gt;""),ROUNDUP(G236*S236,0),"")</x:f>
      </x:c>
      <x:c r="X236">
        <x:f>IF(OR(V236&lt;&gt;"",W236&lt;&gt;""),V236+W236,"")</x:f>
      </x:c>
      <x:c r="Y236" s="9">
        <x:f>IF(AND(X236&lt;&gt;"",T236&lt;&gt;""),X236/T236,"")</x:f>
      </x:c>
    </x:row>
    <x:row r="237">
      <x:c r="L237" s="7" t="n"/>
      <x:c r="M237" s="7" t="n"/>
      <x:c r="N237" s="7" t="n"/>
      <x:c r="O237">
        <x:f>IF(AND(N237&lt;&gt;"",L237&lt;&gt;""),N237-L237,"")</x:f>
      </x:c>
      <x:c r="P237">
        <x:f>IF(AND(N237&lt;&gt;"",M237&lt;&gt;""),IF(N237&lt;=M237,"Yes","No"),"")</x:f>
      </x:c>
      <x:c r="S237" s="8" t="n"/>
      <x:c r="T237">
        <x:f>IF(AND(G237&lt;&gt;"",S237&lt;&gt;""),ROUNDUP(G237*S237,0),"")</x:f>
      </x:c>
      <x:c r="X237">
        <x:f>IF(OR(V237&lt;&gt;"",W237&lt;&gt;""),V237+W237,"")</x:f>
      </x:c>
      <x:c r="Y237" s="9">
        <x:f>IF(AND(X237&lt;&gt;"",T237&lt;&gt;""),X237/T237,"")</x:f>
      </x:c>
    </x:row>
    <x:row r="238">
      <x:c r="L238" s="7" t="n"/>
      <x:c r="M238" s="7" t="n"/>
      <x:c r="N238" s="7" t="n"/>
      <x:c r="O238">
        <x:f>IF(AND(N238&lt;&gt;"",L238&lt;&gt;""),N238-L238,"")</x:f>
      </x:c>
      <x:c r="P238">
        <x:f>IF(AND(N238&lt;&gt;"",M238&lt;&gt;""),IF(N238&lt;=M238,"Yes","No"),"")</x:f>
      </x:c>
      <x:c r="S238" s="8" t="n"/>
      <x:c r="T238">
        <x:f>IF(AND(G238&lt;&gt;"",S238&lt;&gt;""),ROUNDUP(G238*S238,0),"")</x:f>
      </x:c>
      <x:c r="X238">
        <x:f>IF(OR(V238&lt;&gt;"",W238&lt;&gt;""),V238+W238,"")</x:f>
      </x:c>
      <x:c r="Y238" s="9">
        <x:f>IF(AND(X238&lt;&gt;"",T238&lt;&gt;""),X238/T238,"")</x:f>
      </x:c>
    </x:row>
    <x:row r="239">
      <x:c r="L239" s="7" t="n"/>
      <x:c r="M239" s="7" t="n"/>
      <x:c r="N239" s="7" t="n"/>
      <x:c r="O239">
        <x:f>IF(AND(N239&lt;&gt;"",L239&lt;&gt;""),N239-L239,"")</x:f>
      </x:c>
      <x:c r="P239">
        <x:f>IF(AND(N239&lt;&gt;"",M239&lt;&gt;""),IF(N239&lt;=M239,"Yes","No"),"")</x:f>
      </x:c>
      <x:c r="S239" s="8" t="n"/>
      <x:c r="T239">
        <x:f>IF(AND(G239&lt;&gt;"",S239&lt;&gt;""),ROUNDUP(G239*S239,0),"")</x:f>
      </x:c>
      <x:c r="X239">
        <x:f>IF(OR(V239&lt;&gt;"",W239&lt;&gt;""),V239+W239,"")</x:f>
      </x:c>
      <x:c r="Y239" s="9">
        <x:f>IF(AND(X239&lt;&gt;"",T239&lt;&gt;""),X239/T239,"")</x:f>
      </x:c>
    </x:row>
    <x:row r="240">
      <x:c r="L240" s="7" t="n"/>
      <x:c r="M240" s="7" t="n"/>
      <x:c r="N240" s="7" t="n"/>
      <x:c r="O240">
        <x:f>IF(AND(N240&lt;&gt;"",L240&lt;&gt;""),N240-L240,"")</x:f>
      </x:c>
      <x:c r="P240">
        <x:f>IF(AND(N240&lt;&gt;"",M240&lt;&gt;""),IF(N240&lt;=M240,"Yes","No"),"")</x:f>
      </x:c>
      <x:c r="S240" s="8" t="n"/>
      <x:c r="T240">
        <x:f>IF(AND(G240&lt;&gt;"",S240&lt;&gt;""),ROUNDUP(G240*S240,0),"")</x:f>
      </x:c>
      <x:c r="X240">
        <x:f>IF(OR(V240&lt;&gt;"",W240&lt;&gt;""),V240+W240,"")</x:f>
      </x:c>
      <x:c r="Y240" s="9">
        <x:f>IF(AND(X240&lt;&gt;"",T240&lt;&gt;""),X240/T240,"")</x:f>
      </x:c>
    </x:row>
    <x:row r="241">
      <x:c r="L241" s="7" t="n"/>
      <x:c r="M241" s="7" t="n"/>
      <x:c r="N241" s="7" t="n"/>
      <x:c r="O241">
        <x:f>IF(AND(N241&lt;&gt;"",L241&lt;&gt;""),N241-L241,"")</x:f>
      </x:c>
      <x:c r="P241">
        <x:f>IF(AND(N241&lt;&gt;"",M241&lt;&gt;""),IF(N241&lt;=M241,"Yes","No"),"")</x:f>
      </x:c>
      <x:c r="S241" s="8" t="n"/>
      <x:c r="T241">
        <x:f>IF(AND(G241&lt;&gt;"",S241&lt;&gt;""),ROUNDUP(G241*S241,0),"")</x:f>
      </x:c>
      <x:c r="X241">
        <x:f>IF(OR(V241&lt;&gt;"",W241&lt;&gt;""),V241+W241,"")</x:f>
      </x:c>
      <x:c r="Y241" s="9">
        <x:f>IF(AND(X241&lt;&gt;"",T241&lt;&gt;""),X241/T241,"")</x:f>
      </x:c>
    </x:row>
    <x:row r="242">
      <x:c r="L242" s="7" t="n"/>
      <x:c r="M242" s="7" t="n"/>
      <x:c r="N242" s="7" t="n"/>
      <x:c r="O242">
        <x:f>IF(AND(N242&lt;&gt;"",L242&lt;&gt;""),N242-L242,"")</x:f>
      </x:c>
      <x:c r="P242">
        <x:f>IF(AND(N242&lt;&gt;"",M242&lt;&gt;""),IF(N242&lt;=M242,"Yes","No"),"")</x:f>
      </x:c>
      <x:c r="S242" s="8" t="n"/>
      <x:c r="T242">
        <x:f>IF(AND(G242&lt;&gt;"",S242&lt;&gt;""),ROUNDUP(G242*S242,0),"")</x:f>
      </x:c>
      <x:c r="X242">
        <x:f>IF(OR(V242&lt;&gt;"",W242&lt;&gt;""),V242+W242,"")</x:f>
      </x:c>
      <x:c r="Y242" s="9">
        <x:f>IF(AND(X242&lt;&gt;"",T242&lt;&gt;""),X242/T242,"")</x:f>
      </x:c>
    </x:row>
    <x:row r="243">
      <x:c r="L243" s="7" t="n"/>
      <x:c r="M243" s="7" t="n"/>
      <x:c r="N243" s="7" t="n"/>
      <x:c r="O243">
        <x:f>IF(AND(N243&lt;&gt;"",L243&lt;&gt;""),N243-L243,"")</x:f>
      </x:c>
      <x:c r="P243">
        <x:f>IF(AND(N243&lt;&gt;"",M243&lt;&gt;""),IF(N243&lt;=M243,"Yes","No"),"")</x:f>
      </x:c>
      <x:c r="S243" s="8" t="n"/>
      <x:c r="T243">
        <x:f>IF(AND(G243&lt;&gt;"",S243&lt;&gt;""),ROUNDUP(G243*S243,0),"")</x:f>
      </x:c>
      <x:c r="X243">
        <x:f>IF(OR(V243&lt;&gt;"",W243&lt;&gt;""),V243+W243,"")</x:f>
      </x:c>
      <x:c r="Y243" s="9">
        <x:f>IF(AND(X243&lt;&gt;"",T243&lt;&gt;""),X243/T243,"")</x:f>
      </x:c>
    </x:row>
    <x:row r="244">
      <x:c r="L244" s="7" t="n"/>
      <x:c r="M244" s="7" t="n"/>
      <x:c r="N244" s="7" t="n"/>
      <x:c r="O244">
        <x:f>IF(AND(N244&lt;&gt;"",L244&lt;&gt;""),N244-L244,"")</x:f>
      </x:c>
      <x:c r="P244">
        <x:f>IF(AND(N244&lt;&gt;"",M244&lt;&gt;""),IF(N244&lt;=M244,"Yes","No"),"")</x:f>
      </x:c>
      <x:c r="S244" s="8" t="n"/>
      <x:c r="T244">
        <x:f>IF(AND(G244&lt;&gt;"",S244&lt;&gt;""),ROUNDUP(G244*S244,0),"")</x:f>
      </x:c>
      <x:c r="X244">
        <x:f>IF(OR(V244&lt;&gt;"",W244&lt;&gt;""),V244+W244,"")</x:f>
      </x:c>
      <x:c r="Y244" s="9">
        <x:f>IF(AND(X244&lt;&gt;"",T244&lt;&gt;""),X244/T244,"")</x:f>
      </x:c>
    </x:row>
    <x:row r="245">
      <x:c r="L245" s="7" t="n"/>
      <x:c r="M245" s="7" t="n"/>
      <x:c r="N245" s="7" t="n"/>
      <x:c r="O245">
        <x:f>IF(AND(N245&lt;&gt;"",L245&lt;&gt;""),N245-L245,"")</x:f>
      </x:c>
      <x:c r="P245">
        <x:f>IF(AND(N245&lt;&gt;"",M245&lt;&gt;""),IF(N245&lt;=M245,"Yes","No"),"")</x:f>
      </x:c>
      <x:c r="S245" s="8" t="n"/>
      <x:c r="T245">
        <x:f>IF(AND(G245&lt;&gt;"",S245&lt;&gt;""),ROUNDUP(G245*S245,0),"")</x:f>
      </x:c>
      <x:c r="X245">
        <x:f>IF(OR(V245&lt;&gt;"",W245&lt;&gt;""),V245+W245,"")</x:f>
      </x:c>
      <x:c r="Y245" s="9">
        <x:f>IF(AND(X245&lt;&gt;"",T245&lt;&gt;""),X245/T245,"")</x:f>
      </x:c>
    </x:row>
    <x:row r="246">
      <x:c r="L246" s="7" t="n"/>
      <x:c r="M246" s="7" t="n"/>
      <x:c r="N246" s="7" t="n"/>
      <x:c r="O246">
        <x:f>IF(AND(N246&lt;&gt;"",L246&lt;&gt;""),N246-L246,"")</x:f>
      </x:c>
      <x:c r="P246">
        <x:f>IF(AND(N246&lt;&gt;"",M246&lt;&gt;""),IF(N246&lt;=M246,"Yes","No"),"")</x:f>
      </x:c>
      <x:c r="S246" s="8" t="n"/>
      <x:c r="T246">
        <x:f>IF(AND(G246&lt;&gt;"",S246&lt;&gt;""),ROUNDUP(G246*S246,0),"")</x:f>
      </x:c>
      <x:c r="X246">
        <x:f>IF(OR(V246&lt;&gt;"",W246&lt;&gt;""),V246+W246,"")</x:f>
      </x:c>
      <x:c r="Y246" s="9">
        <x:f>IF(AND(X246&lt;&gt;"",T246&lt;&gt;""),X246/T246,"")</x:f>
      </x:c>
    </x:row>
    <x:row r="247">
      <x:c r="L247" s="7" t="n"/>
      <x:c r="M247" s="7" t="n"/>
      <x:c r="N247" s="7" t="n"/>
      <x:c r="O247">
        <x:f>IF(AND(N247&lt;&gt;"",L247&lt;&gt;""),N247-L247,"")</x:f>
      </x:c>
      <x:c r="P247">
        <x:f>IF(AND(N247&lt;&gt;"",M247&lt;&gt;""),IF(N247&lt;=M247,"Yes","No"),"")</x:f>
      </x:c>
      <x:c r="S247" s="8" t="n"/>
      <x:c r="T247">
        <x:f>IF(AND(G247&lt;&gt;"",S247&lt;&gt;""),ROUNDUP(G247*S247,0),"")</x:f>
      </x:c>
      <x:c r="X247">
        <x:f>IF(OR(V247&lt;&gt;"",W247&lt;&gt;""),V247+W247,"")</x:f>
      </x:c>
      <x:c r="Y247" s="9">
        <x:f>IF(AND(X247&lt;&gt;"",T247&lt;&gt;""),X247/T247,"")</x:f>
      </x:c>
    </x:row>
    <x:row r="248">
      <x:c r="L248" s="7" t="n"/>
      <x:c r="M248" s="7" t="n"/>
      <x:c r="N248" s="7" t="n"/>
      <x:c r="O248">
        <x:f>IF(AND(N248&lt;&gt;"",L248&lt;&gt;""),N248-L248,"")</x:f>
      </x:c>
      <x:c r="P248">
        <x:f>IF(AND(N248&lt;&gt;"",M248&lt;&gt;""),IF(N248&lt;=M248,"Yes","No"),"")</x:f>
      </x:c>
      <x:c r="S248" s="8" t="n"/>
      <x:c r="T248">
        <x:f>IF(AND(G248&lt;&gt;"",S248&lt;&gt;""),ROUNDUP(G248*S248,0),"")</x:f>
      </x:c>
      <x:c r="X248">
        <x:f>IF(OR(V248&lt;&gt;"",W248&lt;&gt;""),V248+W248,"")</x:f>
      </x:c>
      <x:c r="Y248" s="9">
        <x:f>IF(AND(X248&lt;&gt;"",T248&lt;&gt;""),X248/T248,"")</x:f>
      </x:c>
    </x:row>
    <x:row r="249">
      <x:c r="L249" s="7" t="n"/>
      <x:c r="M249" s="7" t="n"/>
      <x:c r="N249" s="7" t="n"/>
      <x:c r="O249">
        <x:f>IF(AND(N249&lt;&gt;"",L249&lt;&gt;""),N249-L249,"")</x:f>
      </x:c>
      <x:c r="P249">
        <x:f>IF(AND(N249&lt;&gt;"",M249&lt;&gt;""),IF(N249&lt;=M249,"Yes","No"),"")</x:f>
      </x:c>
      <x:c r="S249" s="8" t="n"/>
      <x:c r="T249">
        <x:f>IF(AND(G249&lt;&gt;"",S249&lt;&gt;""),ROUNDUP(G249*S249,0),"")</x:f>
      </x:c>
      <x:c r="X249">
        <x:f>IF(OR(V249&lt;&gt;"",W249&lt;&gt;""),V249+W249,"")</x:f>
      </x:c>
      <x:c r="Y249" s="9">
        <x:f>IF(AND(X249&lt;&gt;"",T249&lt;&gt;""),X249/T249,"")</x:f>
      </x:c>
    </x:row>
    <x:row r="250">
      <x:c r="L250" s="7" t="n"/>
      <x:c r="M250" s="7" t="n"/>
      <x:c r="N250" s="7" t="n"/>
      <x:c r="O250">
        <x:f>IF(AND(N250&lt;&gt;"",L250&lt;&gt;""),N250-L250,"")</x:f>
      </x:c>
      <x:c r="P250">
        <x:f>IF(AND(N250&lt;&gt;"",M250&lt;&gt;""),IF(N250&lt;=M250,"Yes","No"),"")</x:f>
      </x:c>
      <x:c r="S250" s="8" t="n"/>
      <x:c r="T250">
        <x:f>IF(AND(G250&lt;&gt;"",S250&lt;&gt;""),ROUNDUP(G250*S250,0),"")</x:f>
      </x:c>
      <x:c r="X250">
        <x:f>IF(OR(V250&lt;&gt;"",W250&lt;&gt;""),V250+W250,"")</x:f>
      </x:c>
      <x:c r="Y250" s="9">
        <x:f>IF(AND(X250&lt;&gt;"",T250&lt;&gt;""),X250/T250,"")</x:f>
      </x:c>
    </x:row>
    <x:row r="251">
      <x:c r="L251" s="7" t="n"/>
      <x:c r="M251" s="7" t="n"/>
      <x:c r="N251" s="7" t="n"/>
      <x:c r="O251">
        <x:f>IF(AND(N251&lt;&gt;"",L251&lt;&gt;""),N251-L251,"")</x:f>
      </x:c>
      <x:c r="P251">
        <x:f>IF(AND(N251&lt;&gt;"",M251&lt;&gt;""),IF(N251&lt;=M251,"Yes","No"),"")</x:f>
      </x:c>
      <x:c r="S251" s="8" t="n"/>
      <x:c r="T251">
        <x:f>IF(AND(G251&lt;&gt;"",S251&lt;&gt;""),ROUNDUP(G251*S251,0),"")</x:f>
      </x:c>
      <x:c r="X251">
        <x:f>IF(OR(V251&lt;&gt;"",W251&lt;&gt;""),V251+W251,"")</x:f>
      </x:c>
      <x:c r="Y251" s="9">
        <x:f>IF(AND(X251&lt;&gt;"",T251&lt;&gt;""),X251/T251,"")</x:f>
      </x:c>
    </x:row>
    <x:row r="252">
      <x:c r="L252" s="7" t="n"/>
      <x:c r="M252" s="7" t="n"/>
      <x:c r="N252" s="7" t="n"/>
      <x:c r="O252">
        <x:f>IF(AND(N252&lt;&gt;"",L252&lt;&gt;""),N252-L252,"")</x:f>
      </x:c>
      <x:c r="P252">
        <x:f>IF(AND(N252&lt;&gt;"",M252&lt;&gt;""),IF(N252&lt;=M252,"Yes","No"),"")</x:f>
      </x:c>
      <x:c r="S252" s="8" t="n"/>
      <x:c r="T252">
        <x:f>IF(AND(G252&lt;&gt;"",S252&lt;&gt;""),ROUNDUP(G252*S252,0),"")</x:f>
      </x:c>
      <x:c r="X252">
        <x:f>IF(OR(V252&lt;&gt;"",W252&lt;&gt;""),V252+W252,"")</x:f>
      </x:c>
      <x:c r="Y252" s="9">
        <x:f>IF(AND(X252&lt;&gt;"",T252&lt;&gt;""),X252/T252,"")</x:f>
      </x:c>
    </x:row>
    <x:row r="253">
      <x:c r="L253" s="7" t="n"/>
      <x:c r="M253" s="7" t="n"/>
      <x:c r="N253" s="7" t="n"/>
      <x:c r="O253">
        <x:f>IF(AND(N253&lt;&gt;"",L253&lt;&gt;""),N253-L253,"")</x:f>
      </x:c>
      <x:c r="P253">
        <x:f>IF(AND(N253&lt;&gt;"",M253&lt;&gt;""),IF(N253&lt;=M253,"Yes","No"),"")</x:f>
      </x:c>
      <x:c r="S253" s="8" t="n"/>
      <x:c r="T253">
        <x:f>IF(AND(G253&lt;&gt;"",S253&lt;&gt;""),ROUNDUP(G253*S253,0),"")</x:f>
      </x:c>
      <x:c r="X253">
        <x:f>IF(OR(V253&lt;&gt;"",W253&lt;&gt;""),V253+W253,"")</x:f>
      </x:c>
      <x:c r="Y253" s="9">
        <x:f>IF(AND(X253&lt;&gt;"",T253&lt;&gt;""),X253/T253,"")</x:f>
      </x:c>
    </x:row>
    <x:row r="254">
      <x:c r="L254" s="7" t="n"/>
      <x:c r="M254" s="7" t="n"/>
      <x:c r="N254" s="7" t="n"/>
      <x:c r="O254">
        <x:f>IF(AND(N254&lt;&gt;"",L254&lt;&gt;""),N254-L254,"")</x:f>
      </x:c>
      <x:c r="P254">
        <x:f>IF(AND(N254&lt;&gt;"",M254&lt;&gt;""),IF(N254&lt;=M254,"Yes","No"),"")</x:f>
      </x:c>
      <x:c r="S254" s="8" t="n"/>
      <x:c r="T254">
        <x:f>IF(AND(G254&lt;&gt;"",S254&lt;&gt;""),ROUNDUP(G254*S254,0),"")</x:f>
      </x:c>
      <x:c r="X254">
        <x:f>IF(OR(V254&lt;&gt;"",W254&lt;&gt;""),V254+W254,"")</x:f>
      </x:c>
      <x:c r="Y254" s="9">
        <x:f>IF(AND(X254&lt;&gt;"",T254&lt;&gt;""),X254/T254,"")</x:f>
      </x:c>
    </x:row>
    <x:row r="255">
      <x:c r="L255" s="7" t="n"/>
      <x:c r="M255" s="7" t="n"/>
      <x:c r="N255" s="7" t="n"/>
      <x:c r="O255">
        <x:f>IF(AND(N255&lt;&gt;"",L255&lt;&gt;""),N255-L255,"")</x:f>
      </x:c>
      <x:c r="P255">
        <x:f>IF(AND(N255&lt;&gt;"",M255&lt;&gt;""),IF(N255&lt;=M255,"Yes","No"),"")</x:f>
      </x:c>
      <x:c r="S255" s="8" t="n"/>
      <x:c r="T255">
        <x:f>IF(AND(G255&lt;&gt;"",S255&lt;&gt;""),ROUNDUP(G255*S255,0),"")</x:f>
      </x:c>
      <x:c r="X255">
        <x:f>IF(OR(V255&lt;&gt;"",W255&lt;&gt;""),V255+W255,"")</x:f>
      </x:c>
      <x:c r="Y255" s="9">
        <x:f>IF(AND(X255&lt;&gt;"",T255&lt;&gt;""),X255/T255,"")</x:f>
      </x:c>
    </x:row>
    <x:row r="256">
      <x:c r="L256" s="7" t="n"/>
      <x:c r="M256" s="7" t="n"/>
      <x:c r="N256" s="7" t="n"/>
      <x:c r="O256">
        <x:f>IF(AND(N256&lt;&gt;"",L256&lt;&gt;""),N256-L256,"")</x:f>
      </x:c>
      <x:c r="P256">
        <x:f>IF(AND(N256&lt;&gt;"",M256&lt;&gt;""),IF(N256&lt;=M256,"Yes","No"),"")</x:f>
      </x:c>
      <x:c r="S256" s="8" t="n"/>
      <x:c r="T256">
        <x:f>IF(AND(G256&lt;&gt;"",S256&lt;&gt;""),ROUNDUP(G256*S256,0),"")</x:f>
      </x:c>
      <x:c r="X256">
        <x:f>IF(OR(V256&lt;&gt;"",W256&lt;&gt;""),V256+W256,"")</x:f>
      </x:c>
      <x:c r="Y256" s="9">
        <x:f>IF(AND(X256&lt;&gt;"",T256&lt;&gt;""),X256/T256,"")</x:f>
      </x:c>
    </x:row>
    <x:row r="257">
      <x:c r="L257" s="7" t="n"/>
      <x:c r="M257" s="7" t="n"/>
      <x:c r="N257" s="7" t="n"/>
      <x:c r="O257">
        <x:f>IF(AND(N257&lt;&gt;"",L257&lt;&gt;""),N257-L257,"")</x:f>
      </x:c>
      <x:c r="P257">
        <x:f>IF(AND(N257&lt;&gt;"",M257&lt;&gt;""),IF(N257&lt;=M257,"Yes","No"),"")</x:f>
      </x:c>
      <x:c r="S257" s="8" t="n"/>
      <x:c r="T257">
        <x:f>IF(AND(G257&lt;&gt;"",S257&lt;&gt;""),ROUNDUP(G257*S257,0),"")</x:f>
      </x:c>
      <x:c r="X257">
        <x:f>IF(OR(V257&lt;&gt;"",W257&lt;&gt;""),V257+W257,"")</x:f>
      </x:c>
      <x:c r="Y257" s="9">
        <x:f>IF(AND(X257&lt;&gt;"",T257&lt;&gt;""),X257/T257,"")</x:f>
      </x:c>
    </x:row>
    <x:row r="258">
      <x:c r="L258" s="7" t="n"/>
      <x:c r="M258" s="7" t="n"/>
      <x:c r="N258" s="7" t="n"/>
      <x:c r="O258">
        <x:f>IF(AND(N258&lt;&gt;"",L258&lt;&gt;""),N258-L258,"")</x:f>
      </x:c>
      <x:c r="P258">
        <x:f>IF(AND(N258&lt;&gt;"",M258&lt;&gt;""),IF(N258&lt;=M258,"Yes","No"),"")</x:f>
      </x:c>
      <x:c r="S258" s="8" t="n"/>
      <x:c r="T258">
        <x:f>IF(AND(G258&lt;&gt;"",S258&lt;&gt;""),ROUNDUP(G258*S258,0),"")</x:f>
      </x:c>
      <x:c r="X258">
        <x:f>IF(OR(V258&lt;&gt;"",W258&lt;&gt;""),V258+W258,"")</x:f>
      </x:c>
      <x:c r="Y258" s="9">
        <x:f>IF(AND(X258&lt;&gt;"",T258&lt;&gt;""),X258/T258,"")</x:f>
      </x:c>
    </x:row>
    <x:row r="259">
      <x:c r="L259" s="7" t="n"/>
      <x:c r="M259" s="7" t="n"/>
      <x:c r="N259" s="7" t="n"/>
      <x:c r="O259">
        <x:f>IF(AND(N259&lt;&gt;"",L259&lt;&gt;""),N259-L259,"")</x:f>
      </x:c>
      <x:c r="P259">
        <x:f>IF(AND(N259&lt;&gt;"",M259&lt;&gt;""),IF(N259&lt;=M259,"Yes","No"),"")</x:f>
      </x:c>
      <x:c r="S259" s="8" t="n"/>
      <x:c r="T259">
        <x:f>IF(AND(G259&lt;&gt;"",S259&lt;&gt;""),ROUNDUP(G259*S259,0),"")</x:f>
      </x:c>
      <x:c r="X259">
        <x:f>IF(OR(V259&lt;&gt;"",W259&lt;&gt;""),V259+W259,"")</x:f>
      </x:c>
      <x:c r="Y259" s="9">
        <x:f>IF(AND(X259&lt;&gt;"",T259&lt;&gt;""),X259/T259,"")</x:f>
      </x:c>
    </x:row>
    <x:row r="260">
      <x:c r="L260" s="7" t="n"/>
      <x:c r="M260" s="7" t="n"/>
      <x:c r="N260" s="7" t="n"/>
      <x:c r="O260">
        <x:f>IF(AND(N260&lt;&gt;"",L260&lt;&gt;""),N260-L260,"")</x:f>
      </x:c>
      <x:c r="P260">
        <x:f>IF(AND(N260&lt;&gt;"",M260&lt;&gt;""),IF(N260&lt;=M260,"Yes","No"),"")</x:f>
      </x:c>
      <x:c r="S260" s="8" t="n"/>
      <x:c r="T260">
        <x:f>IF(AND(G260&lt;&gt;"",S260&lt;&gt;""),ROUNDUP(G260*S260,0),"")</x:f>
      </x:c>
      <x:c r="X260">
        <x:f>IF(OR(V260&lt;&gt;"",W260&lt;&gt;""),V260+W260,"")</x:f>
      </x:c>
      <x:c r="Y260" s="9">
        <x:f>IF(AND(X260&lt;&gt;"",T260&lt;&gt;""),X260/T260,"")</x:f>
      </x:c>
    </x:row>
    <x:row r="261">
      <x:c r="L261" s="7" t="n"/>
      <x:c r="M261" s="7" t="n"/>
      <x:c r="N261" s="7" t="n"/>
      <x:c r="O261">
        <x:f>IF(AND(N261&lt;&gt;"",L261&lt;&gt;""),N261-L261,"")</x:f>
      </x:c>
      <x:c r="P261">
        <x:f>IF(AND(N261&lt;&gt;"",M261&lt;&gt;""),IF(N261&lt;=M261,"Yes","No"),"")</x:f>
      </x:c>
      <x:c r="S261" s="8" t="n"/>
      <x:c r="T261">
        <x:f>IF(AND(G261&lt;&gt;"",S261&lt;&gt;""),ROUNDUP(G261*S261,0),"")</x:f>
      </x:c>
      <x:c r="X261">
        <x:f>IF(OR(V261&lt;&gt;"",W261&lt;&gt;""),V261+W261,"")</x:f>
      </x:c>
      <x:c r="Y261" s="9">
        <x:f>IF(AND(X261&lt;&gt;"",T261&lt;&gt;""),X261/T261,"")</x:f>
      </x:c>
    </x:row>
    <x:row r="262">
      <x:c r="L262" s="7" t="n"/>
      <x:c r="M262" s="7" t="n"/>
      <x:c r="N262" s="7" t="n"/>
      <x:c r="O262">
        <x:f>IF(AND(N262&lt;&gt;"",L262&lt;&gt;""),N262-L262,"")</x:f>
      </x:c>
      <x:c r="P262">
        <x:f>IF(AND(N262&lt;&gt;"",M262&lt;&gt;""),IF(N262&lt;=M262,"Yes","No"),"")</x:f>
      </x:c>
      <x:c r="S262" s="8" t="n"/>
      <x:c r="T262">
        <x:f>IF(AND(G262&lt;&gt;"",S262&lt;&gt;""),ROUNDUP(G262*S262,0),"")</x:f>
      </x:c>
      <x:c r="X262">
        <x:f>IF(OR(V262&lt;&gt;"",W262&lt;&gt;""),V262+W262,"")</x:f>
      </x:c>
      <x:c r="Y262" s="9">
        <x:f>IF(AND(X262&lt;&gt;"",T262&lt;&gt;""),X262/T262,"")</x:f>
      </x:c>
    </x:row>
    <x:row r="263">
      <x:c r="L263" s="7" t="n"/>
      <x:c r="M263" s="7" t="n"/>
      <x:c r="N263" s="7" t="n"/>
      <x:c r="O263">
        <x:f>IF(AND(N263&lt;&gt;"",L263&lt;&gt;""),N263-L263,"")</x:f>
      </x:c>
      <x:c r="P263">
        <x:f>IF(AND(N263&lt;&gt;"",M263&lt;&gt;""),IF(N263&lt;=M263,"Yes","No"),"")</x:f>
      </x:c>
      <x:c r="S263" s="8" t="n"/>
      <x:c r="T263">
        <x:f>IF(AND(G263&lt;&gt;"",S263&lt;&gt;""),ROUNDUP(G263*S263,0),"")</x:f>
      </x:c>
      <x:c r="X263">
        <x:f>IF(OR(V263&lt;&gt;"",W263&lt;&gt;""),V263+W263,"")</x:f>
      </x:c>
      <x:c r="Y263" s="9">
        <x:f>IF(AND(X263&lt;&gt;"",T263&lt;&gt;""),X263/T263,"")</x:f>
      </x:c>
    </x:row>
    <x:row r="264">
      <x:c r="L264" s="7" t="n"/>
      <x:c r="M264" s="7" t="n"/>
      <x:c r="N264" s="7" t="n"/>
      <x:c r="O264">
        <x:f>IF(AND(N264&lt;&gt;"",L264&lt;&gt;""),N264-L264,"")</x:f>
      </x:c>
      <x:c r="P264">
        <x:f>IF(AND(N264&lt;&gt;"",M264&lt;&gt;""),IF(N264&lt;=M264,"Yes","No"),"")</x:f>
      </x:c>
      <x:c r="S264" s="8" t="n"/>
      <x:c r="T264">
        <x:f>IF(AND(G264&lt;&gt;"",S264&lt;&gt;""),ROUNDUP(G264*S264,0),"")</x:f>
      </x:c>
      <x:c r="X264">
        <x:f>IF(OR(V264&lt;&gt;"",W264&lt;&gt;""),V264+W264,"")</x:f>
      </x:c>
      <x:c r="Y264" s="9">
        <x:f>IF(AND(X264&lt;&gt;"",T264&lt;&gt;""),X264/T264,"")</x:f>
      </x:c>
    </x:row>
    <x:row r="265">
      <x:c r="L265" s="7" t="n"/>
      <x:c r="M265" s="7" t="n"/>
      <x:c r="N265" s="7" t="n"/>
      <x:c r="O265">
        <x:f>IF(AND(N265&lt;&gt;"",L265&lt;&gt;""),N265-L265,"")</x:f>
      </x:c>
      <x:c r="P265">
        <x:f>IF(AND(N265&lt;&gt;"",M265&lt;&gt;""),IF(N265&lt;=M265,"Yes","No"),"")</x:f>
      </x:c>
      <x:c r="S265" s="8" t="n"/>
      <x:c r="T265">
        <x:f>IF(AND(G265&lt;&gt;"",S265&lt;&gt;""),ROUNDUP(G265*S265,0),"")</x:f>
      </x:c>
      <x:c r="X265">
        <x:f>IF(OR(V265&lt;&gt;"",W265&lt;&gt;""),V265+W265,"")</x:f>
      </x:c>
      <x:c r="Y265" s="9">
        <x:f>IF(AND(X265&lt;&gt;"",T265&lt;&gt;""),X265/T265,"")</x:f>
      </x:c>
    </x:row>
    <x:row r="266">
      <x:c r="L266" s="7" t="n"/>
      <x:c r="M266" s="7" t="n"/>
      <x:c r="N266" s="7" t="n"/>
      <x:c r="O266">
        <x:f>IF(AND(N266&lt;&gt;"",L266&lt;&gt;""),N266-L266,"")</x:f>
      </x:c>
      <x:c r="P266">
        <x:f>IF(AND(N266&lt;&gt;"",M266&lt;&gt;""),IF(N266&lt;=M266,"Yes","No"),"")</x:f>
      </x:c>
      <x:c r="S266" s="8" t="n"/>
      <x:c r="T266">
        <x:f>IF(AND(G266&lt;&gt;"",S266&lt;&gt;""),ROUNDUP(G266*S266,0),"")</x:f>
      </x:c>
      <x:c r="X266">
        <x:f>IF(OR(V266&lt;&gt;"",W266&lt;&gt;""),V266+W266,"")</x:f>
      </x:c>
      <x:c r="Y266" s="9">
        <x:f>IF(AND(X266&lt;&gt;"",T266&lt;&gt;""),X266/T266,"")</x:f>
      </x:c>
    </x:row>
    <x:row r="267">
      <x:c r="L267" s="7" t="n"/>
      <x:c r="M267" s="7" t="n"/>
      <x:c r="N267" s="7" t="n"/>
      <x:c r="O267">
        <x:f>IF(AND(N267&lt;&gt;"",L267&lt;&gt;""),N267-L267,"")</x:f>
      </x:c>
      <x:c r="P267">
        <x:f>IF(AND(N267&lt;&gt;"",M267&lt;&gt;""),IF(N267&lt;=M267,"Yes","No"),"")</x:f>
      </x:c>
      <x:c r="S267" s="8" t="n"/>
      <x:c r="T267">
        <x:f>IF(AND(G267&lt;&gt;"",S267&lt;&gt;""),ROUNDUP(G267*S267,0),"")</x:f>
      </x:c>
      <x:c r="X267">
        <x:f>IF(OR(V267&lt;&gt;"",W267&lt;&gt;""),V267+W267,"")</x:f>
      </x:c>
      <x:c r="Y267" s="9">
        <x:f>IF(AND(X267&lt;&gt;"",T267&lt;&gt;""),X267/T267,"")</x:f>
      </x:c>
    </x:row>
    <x:row r="268">
      <x:c r="L268" s="7" t="n"/>
      <x:c r="M268" s="7" t="n"/>
      <x:c r="N268" s="7" t="n"/>
      <x:c r="O268">
        <x:f>IF(AND(N268&lt;&gt;"",L268&lt;&gt;""),N268-L268,"")</x:f>
      </x:c>
      <x:c r="P268">
        <x:f>IF(AND(N268&lt;&gt;"",M268&lt;&gt;""),IF(N268&lt;=M268,"Yes","No"),"")</x:f>
      </x:c>
      <x:c r="S268" s="8" t="n"/>
      <x:c r="T268">
        <x:f>IF(AND(G268&lt;&gt;"",S268&lt;&gt;""),ROUNDUP(G268*S268,0),"")</x:f>
      </x:c>
      <x:c r="X268">
        <x:f>IF(OR(V268&lt;&gt;"",W268&lt;&gt;""),V268+W268,"")</x:f>
      </x:c>
      <x:c r="Y268" s="9">
        <x:f>IF(AND(X268&lt;&gt;"",T268&lt;&gt;""),X268/T268,"")</x:f>
      </x:c>
    </x:row>
    <x:row r="269">
      <x:c r="L269" s="7" t="n"/>
      <x:c r="M269" s="7" t="n"/>
      <x:c r="N269" s="7" t="n"/>
      <x:c r="O269">
        <x:f>IF(AND(N269&lt;&gt;"",L269&lt;&gt;""),N269-L269,"")</x:f>
      </x:c>
      <x:c r="P269">
        <x:f>IF(AND(N269&lt;&gt;"",M269&lt;&gt;""),IF(N269&lt;=M269,"Yes","No"),"")</x:f>
      </x:c>
      <x:c r="S269" s="8" t="n"/>
      <x:c r="T269">
        <x:f>IF(AND(G269&lt;&gt;"",S269&lt;&gt;""),ROUNDUP(G269*S269,0),"")</x:f>
      </x:c>
      <x:c r="X269">
        <x:f>IF(OR(V269&lt;&gt;"",W269&lt;&gt;""),V269+W269,"")</x:f>
      </x:c>
      <x:c r="Y269" s="9">
        <x:f>IF(AND(X269&lt;&gt;"",T269&lt;&gt;""),X269/T269,"")</x:f>
      </x:c>
    </x:row>
    <x:row r="270">
      <x:c r="L270" s="7" t="n"/>
      <x:c r="M270" s="7" t="n"/>
      <x:c r="N270" s="7" t="n"/>
      <x:c r="O270">
        <x:f>IF(AND(N270&lt;&gt;"",L270&lt;&gt;""),N270-L270,"")</x:f>
      </x:c>
      <x:c r="P270">
        <x:f>IF(AND(N270&lt;&gt;"",M270&lt;&gt;""),IF(N270&lt;=M270,"Yes","No"),"")</x:f>
      </x:c>
      <x:c r="S270" s="8" t="n"/>
      <x:c r="T270">
        <x:f>IF(AND(G270&lt;&gt;"",S270&lt;&gt;""),ROUNDUP(G270*S270,0),"")</x:f>
      </x:c>
      <x:c r="X270">
        <x:f>IF(OR(V270&lt;&gt;"",W270&lt;&gt;""),V270+W270,"")</x:f>
      </x:c>
      <x:c r="Y270" s="9">
        <x:f>IF(AND(X270&lt;&gt;"",T270&lt;&gt;""),X270/T270,"")</x:f>
      </x:c>
    </x:row>
    <x:row r="271">
      <x:c r="L271" s="7" t="n"/>
      <x:c r="M271" s="7" t="n"/>
      <x:c r="N271" s="7" t="n"/>
      <x:c r="O271">
        <x:f>IF(AND(N271&lt;&gt;"",L271&lt;&gt;""),N271-L271,"")</x:f>
      </x:c>
      <x:c r="P271">
        <x:f>IF(AND(N271&lt;&gt;"",M271&lt;&gt;""),IF(N271&lt;=M271,"Yes","No"),"")</x:f>
      </x:c>
      <x:c r="S271" s="8" t="n"/>
      <x:c r="T271">
        <x:f>IF(AND(G271&lt;&gt;"",S271&lt;&gt;""),ROUNDUP(G271*S271,0),"")</x:f>
      </x:c>
      <x:c r="X271">
        <x:f>IF(OR(V271&lt;&gt;"",W271&lt;&gt;""),V271+W271,"")</x:f>
      </x:c>
      <x:c r="Y271" s="9">
        <x:f>IF(AND(X271&lt;&gt;"",T271&lt;&gt;""),X271/T271,"")</x:f>
      </x:c>
    </x:row>
    <x:row r="272">
      <x:c r="L272" s="7" t="n"/>
      <x:c r="M272" s="7" t="n"/>
      <x:c r="N272" s="7" t="n"/>
      <x:c r="O272">
        <x:f>IF(AND(N272&lt;&gt;"",L272&lt;&gt;""),N272-L272,"")</x:f>
      </x:c>
      <x:c r="P272">
        <x:f>IF(AND(N272&lt;&gt;"",M272&lt;&gt;""),IF(N272&lt;=M272,"Yes","No"),"")</x:f>
      </x:c>
      <x:c r="S272" s="8" t="n"/>
      <x:c r="T272">
        <x:f>IF(AND(G272&lt;&gt;"",S272&lt;&gt;""),ROUNDUP(G272*S272,0),"")</x:f>
      </x:c>
      <x:c r="X272">
        <x:f>IF(OR(V272&lt;&gt;"",W272&lt;&gt;""),V272+W272,"")</x:f>
      </x:c>
      <x:c r="Y272" s="9">
        <x:f>IF(AND(X272&lt;&gt;"",T272&lt;&gt;""),X272/T272,"")</x:f>
      </x:c>
    </x:row>
    <x:row r="273">
      <x:c r="L273" s="7" t="n"/>
      <x:c r="M273" s="7" t="n"/>
      <x:c r="N273" s="7" t="n"/>
      <x:c r="O273">
        <x:f>IF(AND(N273&lt;&gt;"",L273&lt;&gt;""),N273-L273,"")</x:f>
      </x:c>
      <x:c r="P273">
        <x:f>IF(AND(N273&lt;&gt;"",M273&lt;&gt;""),IF(N273&lt;=M273,"Yes","No"),"")</x:f>
      </x:c>
      <x:c r="S273" s="8" t="n"/>
      <x:c r="T273">
        <x:f>IF(AND(G273&lt;&gt;"",S273&lt;&gt;""),ROUNDUP(G273*S273,0),"")</x:f>
      </x:c>
      <x:c r="X273">
        <x:f>IF(OR(V273&lt;&gt;"",W273&lt;&gt;""),V273+W273,"")</x:f>
      </x:c>
      <x:c r="Y273" s="9">
        <x:f>IF(AND(X273&lt;&gt;"",T273&lt;&gt;""),X273/T273,"")</x:f>
      </x:c>
    </x:row>
    <x:row r="274">
      <x:c r="L274" s="7" t="n"/>
      <x:c r="M274" s="7" t="n"/>
      <x:c r="N274" s="7" t="n"/>
      <x:c r="O274">
        <x:f>IF(AND(N274&lt;&gt;"",L274&lt;&gt;""),N274-L274,"")</x:f>
      </x:c>
      <x:c r="P274">
        <x:f>IF(AND(N274&lt;&gt;"",M274&lt;&gt;""),IF(N274&lt;=M274,"Yes","No"),"")</x:f>
      </x:c>
      <x:c r="S274" s="8" t="n"/>
      <x:c r="T274">
        <x:f>IF(AND(G274&lt;&gt;"",S274&lt;&gt;""),ROUNDUP(G274*S274,0),"")</x:f>
      </x:c>
      <x:c r="X274">
        <x:f>IF(OR(V274&lt;&gt;"",W274&lt;&gt;""),V274+W274,"")</x:f>
      </x:c>
      <x:c r="Y274" s="9">
        <x:f>IF(AND(X274&lt;&gt;"",T274&lt;&gt;""),X274/T274,"")</x:f>
      </x:c>
    </x:row>
    <x:row r="275">
      <x:c r="L275" s="7" t="n"/>
      <x:c r="M275" s="7" t="n"/>
      <x:c r="N275" s="7" t="n"/>
      <x:c r="O275">
        <x:f>IF(AND(N275&lt;&gt;"",L275&lt;&gt;""),N275-L275,"")</x:f>
      </x:c>
      <x:c r="P275">
        <x:f>IF(AND(N275&lt;&gt;"",M275&lt;&gt;""),IF(N275&lt;=M275,"Yes","No"),"")</x:f>
      </x:c>
      <x:c r="S275" s="8" t="n"/>
      <x:c r="T275">
        <x:f>IF(AND(G275&lt;&gt;"",S275&lt;&gt;""),ROUNDUP(G275*S275,0),"")</x:f>
      </x:c>
      <x:c r="X275">
        <x:f>IF(OR(V275&lt;&gt;"",W275&lt;&gt;""),V275+W275,"")</x:f>
      </x:c>
      <x:c r="Y275" s="9">
        <x:f>IF(AND(X275&lt;&gt;"",T275&lt;&gt;""),X275/T275,"")</x:f>
      </x:c>
    </x:row>
    <x:row r="276">
      <x:c r="L276" s="7" t="n"/>
      <x:c r="M276" s="7" t="n"/>
      <x:c r="N276" s="7" t="n"/>
      <x:c r="O276">
        <x:f>IF(AND(N276&lt;&gt;"",L276&lt;&gt;""),N276-L276,"")</x:f>
      </x:c>
      <x:c r="P276">
        <x:f>IF(AND(N276&lt;&gt;"",M276&lt;&gt;""),IF(N276&lt;=M276,"Yes","No"),"")</x:f>
      </x:c>
      <x:c r="S276" s="8" t="n"/>
      <x:c r="T276">
        <x:f>IF(AND(G276&lt;&gt;"",S276&lt;&gt;""),ROUNDUP(G276*S276,0),"")</x:f>
      </x:c>
      <x:c r="X276">
        <x:f>IF(OR(V276&lt;&gt;"",W276&lt;&gt;""),V276+W276,"")</x:f>
      </x:c>
      <x:c r="Y276" s="9">
        <x:f>IF(AND(X276&lt;&gt;"",T276&lt;&gt;""),X276/T276,"")</x:f>
      </x:c>
    </x:row>
    <x:row r="277">
      <x:c r="L277" s="7" t="n"/>
      <x:c r="M277" s="7" t="n"/>
      <x:c r="N277" s="7" t="n"/>
      <x:c r="O277">
        <x:f>IF(AND(N277&lt;&gt;"",L277&lt;&gt;""),N277-L277,"")</x:f>
      </x:c>
      <x:c r="P277">
        <x:f>IF(AND(N277&lt;&gt;"",M277&lt;&gt;""),IF(N277&lt;=M277,"Yes","No"),"")</x:f>
      </x:c>
      <x:c r="S277" s="8" t="n"/>
      <x:c r="T277">
        <x:f>IF(AND(G277&lt;&gt;"",S277&lt;&gt;""),ROUNDUP(G277*S277,0),"")</x:f>
      </x:c>
      <x:c r="X277">
        <x:f>IF(OR(V277&lt;&gt;"",W277&lt;&gt;""),V277+W277,"")</x:f>
      </x:c>
      <x:c r="Y277" s="9">
        <x:f>IF(AND(X277&lt;&gt;"",T277&lt;&gt;""),X277/T277,"")</x:f>
      </x:c>
    </x:row>
    <x:row r="278">
      <x:c r="L278" s="7" t="n"/>
      <x:c r="M278" s="7" t="n"/>
      <x:c r="N278" s="7" t="n"/>
      <x:c r="O278">
        <x:f>IF(AND(N278&lt;&gt;"",L278&lt;&gt;""),N278-L278,"")</x:f>
      </x:c>
      <x:c r="P278">
        <x:f>IF(AND(N278&lt;&gt;"",M278&lt;&gt;""),IF(N278&lt;=M278,"Yes","No"),"")</x:f>
      </x:c>
      <x:c r="S278" s="8" t="n"/>
      <x:c r="T278">
        <x:f>IF(AND(G278&lt;&gt;"",S278&lt;&gt;""),ROUNDUP(G278*S278,0),"")</x:f>
      </x:c>
      <x:c r="X278">
        <x:f>IF(OR(V278&lt;&gt;"",W278&lt;&gt;""),V278+W278,"")</x:f>
      </x:c>
      <x:c r="Y278" s="9">
        <x:f>IF(AND(X278&lt;&gt;"",T278&lt;&gt;""),X278/T278,"")</x:f>
      </x:c>
    </x:row>
    <x:row r="279">
      <x:c r="L279" s="7" t="n"/>
      <x:c r="M279" s="7" t="n"/>
      <x:c r="N279" s="7" t="n"/>
      <x:c r="O279">
        <x:f>IF(AND(N279&lt;&gt;"",L279&lt;&gt;""),N279-L279,"")</x:f>
      </x:c>
      <x:c r="P279">
        <x:f>IF(AND(N279&lt;&gt;"",M279&lt;&gt;""),IF(N279&lt;=M279,"Yes","No"),"")</x:f>
      </x:c>
      <x:c r="S279" s="8" t="n"/>
      <x:c r="T279">
        <x:f>IF(AND(G279&lt;&gt;"",S279&lt;&gt;""),ROUNDUP(G279*S279,0),"")</x:f>
      </x:c>
      <x:c r="X279">
        <x:f>IF(OR(V279&lt;&gt;"",W279&lt;&gt;""),V279+W279,"")</x:f>
      </x:c>
      <x:c r="Y279" s="9">
        <x:f>IF(AND(X279&lt;&gt;"",T279&lt;&gt;""),X279/T279,"")</x:f>
      </x:c>
    </x:row>
    <x:row r="280">
      <x:c r="L280" s="7" t="n"/>
      <x:c r="M280" s="7" t="n"/>
      <x:c r="N280" s="7" t="n"/>
      <x:c r="O280">
        <x:f>IF(AND(N280&lt;&gt;"",L280&lt;&gt;""),N280-L280,"")</x:f>
      </x:c>
      <x:c r="P280">
        <x:f>IF(AND(N280&lt;&gt;"",M280&lt;&gt;""),IF(N280&lt;=M280,"Yes","No"),"")</x:f>
      </x:c>
      <x:c r="S280" s="8" t="n"/>
      <x:c r="T280">
        <x:f>IF(AND(G280&lt;&gt;"",S280&lt;&gt;""),ROUNDUP(G280*S280,0),"")</x:f>
      </x:c>
      <x:c r="X280">
        <x:f>IF(OR(V280&lt;&gt;"",W280&lt;&gt;""),V280+W280,"")</x:f>
      </x:c>
      <x:c r="Y280" s="9">
        <x:f>IF(AND(X280&lt;&gt;"",T280&lt;&gt;""),X280/T280,"")</x:f>
      </x:c>
    </x:row>
    <x:row r="281">
      <x:c r="L281" s="7" t="n"/>
      <x:c r="M281" s="7" t="n"/>
      <x:c r="N281" s="7" t="n"/>
      <x:c r="O281">
        <x:f>IF(AND(N281&lt;&gt;"",L281&lt;&gt;""),N281-L281,"")</x:f>
      </x:c>
      <x:c r="P281">
        <x:f>IF(AND(N281&lt;&gt;"",M281&lt;&gt;""),IF(N281&lt;=M281,"Yes","No"),"")</x:f>
      </x:c>
      <x:c r="S281" s="8" t="n"/>
      <x:c r="T281">
        <x:f>IF(AND(G281&lt;&gt;"",S281&lt;&gt;""),ROUNDUP(G281*S281,0),"")</x:f>
      </x:c>
      <x:c r="X281">
        <x:f>IF(OR(V281&lt;&gt;"",W281&lt;&gt;""),V281+W281,"")</x:f>
      </x:c>
      <x:c r="Y281" s="9">
        <x:f>IF(AND(X281&lt;&gt;"",T281&lt;&gt;""),X281/T281,"")</x:f>
      </x:c>
    </x:row>
    <x:row r="282">
      <x:c r="L282" s="7" t="n"/>
      <x:c r="M282" s="7" t="n"/>
      <x:c r="N282" s="7" t="n"/>
      <x:c r="O282">
        <x:f>IF(AND(N282&lt;&gt;"",L282&lt;&gt;""),N282-L282,"")</x:f>
      </x:c>
      <x:c r="P282">
        <x:f>IF(AND(N282&lt;&gt;"",M282&lt;&gt;""),IF(N282&lt;=M282,"Yes","No"),"")</x:f>
      </x:c>
      <x:c r="S282" s="8" t="n"/>
      <x:c r="T282">
        <x:f>IF(AND(G282&lt;&gt;"",S282&lt;&gt;""),ROUNDUP(G282*S282,0),"")</x:f>
      </x:c>
      <x:c r="X282">
        <x:f>IF(OR(V282&lt;&gt;"",W282&lt;&gt;""),V282+W282,"")</x:f>
      </x:c>
      <x:c r="Y282" s="9">
        <x:f>IF(AND(X282&lt;&gt;"",T282&lt;&gt;""),X282/T282,"")</x:f>
      </x:c>
    </x:row>
    <x:row r="283">
      <x:c r="L283" s="7" t="n"/>
      <x:c r="M283" s="7" t="n"/>
      <x:c r="N283" s="7" t="n"/>
      <x:c r="O283">
        <x:f>IF(AND(N283&lt;&gt;"",L283&lt;&gt;""),N283-L283,"")</x:f>
      </x:c>
      <x:c r="P283">
        <x:f>IF(AND(N283&lt;&gt;"",M283&lt;&gt;""),IF(N283&lt;=M283,"Yes","No"),"")</x:f>
      </x:c>
      <x:c r="S283" s="8" t="n"/>
      <x:c r="T283">
        <x:f>IF(AND(G283&lt;&gt;"",S283&lt;&gt;""),ROUNDUP(G283*S283,0),"")</x:f>
      </x:c>
      <x:c r="X283">
        <x:f>IF(OR(V283&lt;&gt;"",W283&lt;&gt;""),V283+W283,"")</x:f>
      </x:c>
      <x:c r="Y283" s="9">
        <x:f>IF(AND(X283&lt;&gt;"",T283&lt;&gt;""),X283/T283,"")</x:f>
      </x:c>
    </x:row>
    <x:row r="284">
      <x:c r="L284" s="7" t="n"/>
      <x:c r="M284" s="7" t="n"/>
      <x:c r="N284" s="7" t="n"/>
      <x:c r="O284">
        <x:f>IF(AND(N284&lt;&gt;"",L284&lt;&gt;""),N284-L284,"")</x:f>
      </x:c>
      <x:c r="P284">
        <x:f>IF(AND(N284&lt;&gt;"",M284&lt;&gt;""),IF(N284&lt;=M284,"Yes","No"),"")</x:f>
      </x:c>
      <x:c r="S284" s="8" t="n"/>
      <x:c r="T284">
        <x:f>IF(AND(G284&lt;&gt;"",S284&lt;&gt;""),ROUNDUP(G284*S284,0),"")</x:f>
      </x:c>
      <x:c r="X284">
        <x:f>IF(OR(V284&lt;&gt;"",W284&lt;&gt;""),V284+W284,"")</x:f>
      </x:c>
      <x:c r="Y284" s="9">
        <x:f>IF(AND(X284&lt;&gt;"",T284&lt;&gt;""),X284/T284,"")</x:f>
      </x:c>
    </x:row>
    <x:row r="285">
      <x:c r="L285" s="7" t="n"/>
      <x:c r="M285" s="7" t="n"/>
      <x:c r="N285" s="7" t="n"/>
      <x:c r="O285">
        <x:f>IF(AND(N285&lt;&gt;"",L285&lt;&gt;""),N285-L285,"")</x:f>
      </x:c>
      <x:c r="P285">
        <x:f>IF(AND(N285&lt;&gt;"",M285&lt;&gt;""),IF(N285&lt;=M285,"Yes","No"),"")</x:f>
      </x:c>
      <x:c r="S285" s="8" t="n"/>
      <x:c r="T285">
        <x:f>IF(AND(G285&lt;&gt;"",S285&lt;&gt;""),ROUNDUP(G285*S285,0),"")</x:f>
      </x:c>
      <x:c r="X285">
        <x:f>IF(OR(V285&lt;&gt;"",W285&lt;&gt;""),V285+W285,"")</x:f>
      </x:c>
      <x:c r="Y285" s="9">
        <x:f>IF(AND(X285&lt;&gt;"",T285&lt;&gt;""),X285/T285,"")</x:f>
      </x:c>
    </x:row>
    <x:row r="286">
      <x:c r="L286" s="7" t="n"/>
      <x:c r="M286" s="7" t="n"/>
      <x:c r="N286" s="7" t="n"/>
      <x:c r="O286">
        <x:f>IF(AND(N286&lt;&gt;"",L286&lt;&gt;""),N286-L286,"")</x:f>
      </x:c>
      <x:c r="P286">
        <x:f>IF(AND(N286&lt;&gt;"",M286&lt;&gt;""),IF(N286&lt;=M286,"Yes","No"),"")</x:f>
      </x:c>
      <x:c r="S286" s="8" t="n"/>
      <x:c r="T286">
        <x:f>IF(AND(G286&lt;&gt;"",S286&lt;&gt;""),ROUNDUP(G286*S286,0),"")</x:f>
      </x:c>
      <x:c r="X286">
        <x:f>IF(OR(V286&lt;&gt;"",W286&lt;&gt;""),V286+W286,"")</x:f>
      </x:c>
      <x:c r="Y286" s="9">
        <x:f>IF(AND(X286&lt;&gt;"",T286&lt;&gt;""),X286/T286,"")</x:f>
      </x:c>
    </x:row>
    <x:row r="287">
      <x:c r="L287" s="7" t="n"/>
      <x:c r="M287" s="7" t="n"/>
      <x:c r="N287" s="7" t="n"/>
      <x:c r="O287">
        <x:f>IF(AND(N287&lt;&gt;"",L287&lt;&gt;""),N287-L287,"")</x:f>
      </x:c>
      <x:c r="P287">
        <x:f>IF(AND(N287&lt;&gt;"",M287&lt;&gt;""),IF(N287&lt;=M287,"Yes","No"),"")</x:f>
      </x:c>
      <x:c r="S287" s="8" t="n"/>
      <x:c r="T287">
        <x:f>IF(AND(G287&lt;&gt;"",S287&lt;&gt;""),ROUNDUP(G287*S287,0),"")</x:f>
      </x:c>
      <x:c r="X287">
        <x:f>IF(OR(V287&lt;&gt;"",W287&lt;&gt;""),V287+W287,"")</x:f>
      </x:c>
      <x:c r="Y287" s="9">
        <x:f>IF(AND(X287&lt;&gt;"",T287&lt;&gt;""),X287/T287,"")</x:f>
      </x:c>
    </x:row>
    <x:row r="288">
      <x:c r="L288" s="7" t="n"/>
      <x:c r="M288" s="7" t="n"/>
      <x:c r="N288" s="7" t="n"/>
      <x:c r="O288">
        <x:f>IF(AND(N288&lt;&gt;"",L288&lt;&gt;""),N288-L288,"")</x:f>
      </x:c>
      <x:c r="P288">
        <x:f>IF(AND(N288&lt;&gt;"",M288&lt;&gt;""),IF(N288&lt;=M288,"Yes","No"),"")</x:f>
      </x:c>
      <x:c r="S288" s="8" t="n"/>
      <x:c r="T288">
        <x:f>IF(AND(G288&lt;&gt;"",S288&lt;&gt;""),ROUNDUP(G288*S288,0),"")</x:f>
      </x:c>
      <x:c r="X288">
        <x:f>IF(OR(V288&lt;&gt;"",W288&lt;&gt;""),V288+W288,"")</x:f>
      </x:c>
      <x:c r="Y288" s="9">
        <x:f>IF(AND(X288&lt;&gt;"",T288&lt;&gt;""),X288/T288,"")</x:f>
      </x:c>
    </x:row>
    <x:row r="289">
      <x:c r="L289" s="7" t="n"/>
      <x:c r="M289" s="7" t="n"/>
      <x:c r="N289" s="7" t="n"/>
      <x:c r="O289">
        <x:f>IF(AND(N289&lt;&gt;"",L289&lt;&gt;""),N289-L289,"")</x:f>
      </x:c>
      <x:c r="P289">
        <x:f>IF(AND(N289&lt;&gt;"",M289&lt;&gt;""),IF(N289&lt;=M289,"Yes","No"),"")</x:f>
      </x:c>
      <x:c r="S289" s="8" t="n"/>
      <x:c r="T289">
        <x:f>IF(AND(G289&lt;&gt;"",S289&lt;&gt;""),ROUNDUP(G289*S289,0),"")</x:f>
      </x:c>
      <x:c r="X289">
        <x:f>IF(OR(V289&lt;&gt;"",W289&lt;&gt;""),V289+W289,"")</x:f>
      </x:c>
      <x:c r="Y289" s="9">
        <x:f>IF(AND(X289&lt;&gt;"",T289&lt;&gt;""),X289/T289,"")</x:f>
      </x:c>
    </x:row>
    <x:row r="290">
      <x:c r="L290" s="7" t="n"/>
      <x:c r="M290" s="7" t="n"/>
      <x:c r="N290" s="7" t="n"/>
      <x:c r="O290">
        <x:f>IF(AND(N290&lt;&gt;"",L290&lt;&gt;""),N290-L290,"")</x:f>
      </x:c>
      <x:c r="P290">
        <x:f>IF(AND(N290&lt;&gt;"",M290&lt;&gt;""),IF(N290&lt;=M290,"Yes","No"),"")</x:f>
      </x:c>
      <x:c r="S290" s="8" t="n"/>
      <x:c r="T290">
        <x:f>IF(AND(G290&lt;&gt;"",S290&lt;&gt;""),ROUNDUP(G290*S290,0),"")</x:f>
      </x:c>
      <x:c r="X290">
        <x:f>IF(OR(V290&lt;&gt;"",W290&lt;&gt;""),V290+W290,"")</x:f>
      </x:c>
      <x:c r="Y290" s="9">
        <x:f>IF(AND(X290&lt;&gt;"",T290&lt;&gt;""),X290/T290,"")</x:f>
      </x:c>
    </x:row>
    <x:row r="291">
      <x:c r="L291" s="7" t="n"/>
      <x:c r="M291" s="7" t="n"/>
      <x:c r="N291" s="7" t="n"/>
      <x:c r="O291">
        <x:f>IF(AND(N291&lt;&gt;"",L291&lt;&gt;""),N291-L291,"")</x:f>
      </x:c>
      <x:c r="P291">
        <x:f>IF(AND(N291&lt;&gt;"",M291&lt;&gt;""),IF(N291&lt;=M291,"Yes","No"),"")</x:f>
      </x:c>
      <x:c r="S291" s="8" t="n"/>
      <x:c r="T291">
        <x:f>IF(AND(G291&lt;&gt;"",S291&lt;&gt;""),ROUNDUP(G291*S291,0),"")</x:f>
      </x:c>
      <x:c r="X291">
        <x:f>IF(OR(V291&lt;&gt;"",W291&lt;&gt;""),V291+W291,"")</x:f>
      </x:c>
      <x:c r="Y291" s="9">
        <x:f>IF(AND(X291&lt;&gt;"",T291&lt;&gt;""),X291/T291,"")</x:f>
      </x:c>
    </x:row>
    <x:row r="292">
      <x:c r="L292" s="7" t="n"/>
      <x:c r="M292" s="7" t="n"/>
      <x:c r="N292" s="7" t="n"/>
      <x:c r="O292">
        <x:f>IF(AND(N292&lt;&gt;"",L292&lt;&gt;""),N292-L292,"")</x:f>
      </x:c>
      <x:c r="P292">
        <x:f>IF(AND(N292&lt;&gt;"",M292&lt;&gt;""),IF(N292&lt;=M292,"Yes","No"),"")</x:f>
      </x:c>
      <x:c r="S292" s="8" t="n"/>
      <x:c r="T292">
        <x:f>IF(AND(G292&lt;&gt;"",S292&lt;&gt;""),ROUNDUP(G292*S292,0),"")</x:f>
      </x:c>
      <x:c r="X292">
        <x:f>IF(OR(V292&lt;&gt;"",W292&lt;&gt;""),V292+W292,"")</x:f>
      </x:c>
      <x:c r="Y292" s="9">
        <x:f>IF(AND(X292&lt;&gt;"",T292&lt;&gt;""),X292/T292,"")</x:f>
      </x:c>
    </x:row>
    <x:row r="293">
      <x:c r="L293" s="7" t="n"/>
      <x:c r="M293" s="7" t="n"/>
      <x:c r="N293" s="7" t="n"/>
      <x:c r="O293">
        <x:f>IF(AND(N293&lt;&gt;"",L293&lt;&gt;""),N293-L293,"")</x:f>
      </x:c>
      <x:c r="P293">
        <x:f>IF(AND(N293&lt;&gt;"",M293&lt;&gt;""),IF(N293&lt;=M293,"Yes","No"),"")</x:f>
      </x:c>
      <x:c r="S293" s="8" t="n"/>
      <x:c r="T293">
        <x:f>IF(AND(G293&lt;&gt;"",S293&lt;&gt;""),ROUNDUP(G293*S293,0),"")</x:f>
      </x:c>
      <x:c r="X293">
        <x:f>IF(OR(V293&lt;&gt;"",W293&lt;&gt;""),V293+W293,"")</x:f>
      </x:c>
      <x:c r="Y293" s="9">
        <x:f>IF(AND(X293&lt;&gt;"",T293&lt;&gt;""),X293/T293,"")</x:f>
      </x:c>
    </x:row>
    <x:row r="294">
      <x:c r="L294" s="7" t="n"/>
      <x:c r="M294" s="7" t="n"/>
      <x:c r="N294" s="7" t="n"/>
      <x:c r="O294">
        <x:f>IF(AND(N294&lt;&gt;"",L294&lt;&gt;""),N294-L294,"")</x:f>
      </x:c>
      <x:c r="P294">
        <x:f>IF(AND(N294&lt;&gt;"",M294&lt;&gt;""),IF(N294&lt;=M294,"Yes","No"),"")</x:f>
      </x:c>
      <x:c r="S294" s="8" t="n"/>
      <x:c r="T294">
        <x:f>IF(AND(G294&lt;&gt;"",S294&lt;&gt;""),ROUNDUP(G294*S294,0),"")</x:f>
      </x:c>
      <x:c r="X294">
        <x:f>IF(OR(V294&lt;&gt;"",W294&lt;&gt;""),V294+W294,"")</x:f>
      </x:c>
      <x:c r="Y294" s="9">
        <x:f>IF(AND(X294&lt;&gt;"",T294&lt;&gt;""),X294/T294,"")</x:f>
      </x:c>
    </x:row>
    <x:row r="295">
      <x:c r="L295" s="7" t="n"/>
      <x:c r="M295" s="7" t="n"/>
      <x:c r="N295" s="7" t="n"/>
      <x:c r="O295">
        <x:f>IF(AND(N295&lt;&gt;"",L295&lt;&gt;""),N295-L295,"")</x:f>
      </x:c>
      <x:c r="P295">
        <x:f>IF(AND(N295&lt;&gt;"",M295&lt;&gt;""),IF(N295&lt;=M295,"Yes","No"),"")</x:f>
      </x:c>
      <x:c r="S295" s="8" t="n"/>
      <x:c r="T295">
        <x:f>IF(AND(G295&lt;&gt;"",S295&lt;&gt;""),ROUNDUP(G295*S295,0),"")</x:f>
      </x:c>
      <x:c r="X295">
        <x:f>IF(OR(V295&lt;&gt;"",W295&lt;&gt;""),V295+W295,"")</x:f>
      </x:c>
      <x:c r="Y295" s="9">
        <x:f>IF(AND(X295&lt;&gt;"",T295&lt;&gt;""),X295/T295,"")</x:f>
      </x:c>
    </x:row>
    <x:row r="296">
      <x:c r="L296" s="7" t="n"/>
      <x:c r="M296" s="7" t="n"/>
      <x:c r="N296" s="7" t="n"/>
      <x:c r="O296">
        <x:f>IF(AND(N296&lt;&gt;"",L296&lt;&gt;""),N296-L296,"")</x:f>
      </x:c>
      <x:c r="P296">
        <x:f>IF(AND(N296&lt;&gt;"",M296&lt;&gt;""),IF(N296&lt;=M296,"Yes","No"),"")</x:f>
      </x:c>
      <x:c r="S296" s="8" t="n"/>
      <x:c r="T296">
        <x:f>IF(AND(G296&lt;&gt;"",S296&lt;&gt;""),ROUNDUP(G296*S296,0),"")</x:f>
      </x:c>
      <x:c r="X296">
        <x:f>IF(OR(V296&lt;&gt;"",W296&lt;&gt;""),V296+W296,"")</x:f>
      </x:c>
      <x:c r="Y296" s="9">
        <x:f>IF(AND(X296&lt;&gt;"",T296&lt;&gt;""),X296/T296,"")</x:f>
      </x:c>
    </x:row>
    <x:row r="297">
      <x:c r="L297" s="7" t="n"/>
      <x:c r="M297" s="7" t="n"/>
      <x:c r="N297" s="7" t="n"/>
      <x:c r="O297">
        <x:f>IF(AND(N297&lt;&gt;"",L297&lt;&gt;""),N297-L297,"")</x:f>
      </x:c>
      <x:c r="P297">
        <x:f>IF(AND(N297&lt;&gt;"",M297&lt;&gt;""),IF(N297&lt;=M297,"Yes","No"),"")</x:f>
      </x:c>
      <x:c r="S297" s="8" t="n"/>
      <x:c r="T297">
        <x:f>IF(AND(G297&lt;&gt;"",S297&lt;&gt;""),ROUNDUP(G297*S297,0),"")</x:f>
      </x:c>
      <x:c r="X297">
        <x:f>IF(OR(V297&lt;&gt;"",W297&lt;&gt;""),V297+W297,"")</x:f>
      </x:c>
      <x:c r="Y297" s="9">
        <x:f>IF(AND(X297&lt;&gt;"",T297&lt;&gt;""),X297/T297,"")</x:f>
      </x:c>
    </x:row>
    <x:row r="298">
      <x:c r="L298" s="7" t="n"/>
      <x:c r="M298" s="7" t="n"/>
      <x:c r="N298" s="7" t="n"/>
      <x:c r="O298">
        <x:f>IF(AND(N298&lt;&gt;"",L298&lt;&gt;""),N298-L298,"")</x:f>
      </x:c>
      <x:c r="P298">
        <x:f>IF(AND(N298&lt;&gt;"",M298&lt;&gt;""),IF(N298&lt;=M298,"Yes","No"),"")</x:f>
      </x:c>
      <x:c r="S298" s="8" t="n"/>
      <x:c r="T298">
        <x:f>IF(AND(G298&lt;&gt;"",S298&lt;&gt;""),ROUNDUP(G298*S298,0),"")</x:f>
      </x:c>
      <x:c r="X298">
        <x:f>IF(OR(V298&lt;&gt;"",W298&lt;&gt;""),V298+W298,"")</x:f>
      </x:c>
      <x:c r="Y298" s="9">
        <x:f>IF(AND(X298&lt;&gt;"",T298&lt;&gt;""),X298/T298,"")</x:f>
      </x:c>
    </x:row>
    <x:row r="299">
      <x:c r="L299" s="7" t="n"/>
      <x:c r="M299" s="7" t="n"/>
      <x:c r="N299" s="7" t="n"/>
      <x:c r="O299">
        <x:f>IF(AND(N299&lt;&gt;"",L299&lt;&gt;""),N299-L299,"")</x:f>
      </x:c>
      <x:c r="P299">
        <x:f>IF(AND(N299&lt;&gt;"",M299&lt;&gt;""),IF(N299&lt;=M299,"Yes","No"),"")</x:f>
      </x:c>
      <x:c r="S299" s="8" t="n"/>
      <x:c r="T299">
        <x:f>IF(AND(G299&lt;&gt;"",S299&lt;&gt;""),ROUNDUP(G299*S299,0),"")</x:f>
      </x:c>
      <x:c r="X299">
        <x:f>IF(OR(V299&lt;&gt;"",W299&lt;&gt;""),V299+W299,"")</x:f>
      </x:c>
      <x:c r="Y299" s="9">
        <x:f>IF(AND(X299&lt;&gt;"",T299&lt;&gt;""),X299/T299,"")</x:f>
      </x:c>
    </x:row>
    <x:row r="300">
      <x:c r="L300" s="7" t="n"/>
      <x:c r="M300" s="7" t="n"/>
      <x:c r="N300" s="7" t="n"/>
      <x:c r="O300">
        <x:f>IF(AND(N300&lt;&gt;"",L300&lt;&gt;""),N300-L300,"")</x:f>
      </x:c>
      <x:c r="P300">
        <x:f>IF(AND(N300&lt;&gt;"",M300&lt;&gt;""),IF(N300&lt;=M300,"Yes","No"),"")</x:f>
      </x:c>
      <x:c r="S300" s="8" t="n"/>
      <x:c r="T300">
        <x:f>IF(AND(G300&lt;&gt;"",S300&lt;&gt;""),ROUNDUP(G300*S300,0),"")</x:f>
      </x:c>
      <x:c r="X300">
        <x:f>IF(OR(V300&lt;&gt;"",W300&lt;&gt;""),V300+W300,"")</x:f>
      </x:c>
      <x:c r="Y300" s="9">
        <x:f>IF(AND(X300&lt;&gt;"",T300&lt;&gt;""),X300/T300,"")</x:f>
      </x:c>
    </x:row>
    <x:row r="301">
      <x:c r="L301" s="7" t="n"/>
      <x:c r="M301" s="7" t="n"/>
      <x:c r="N301" s="7" t="n"/>
      <x:c r="O301">
        <x:f>IF(AND(N301&lt;&gt;"",L301&lt;&gt;""),N301-L301,"")</x:f>
      </x:c>
      <x:c r="P301">
        <x:f>IF(AND(N301&lt;&gt;"",M301&lt;&gt;""),IF(N301&lt;=M301,"Yes","No"),"")</x:f>
      </x:c>
      <x:c r="S301" s="8" t="n"/>
      <x:c r="T301">
        <x:f>IF(AND(G301&lt;&gt;"",S301&lt;&gt;""),ROUNDUP(G301*S301,0),"")</x:f>
      </x:c>
      <x:c r="X301">
        <x:f>IF(OR(V301&lt;&gt;"",W301&lt;&gt;""),V301+W301,"")</x:f>
      </x:c>
      <x:c r="Y301" s="9">
        <x:f>IF(AND(X301&lt;&gt;"",T301&lt;&gt;""),X301/T301,"")</x:f>
      </x:c>
    </x:row>
    <x:row r="302">
      <x:c r="L302" s="7" t="n"/>
      <x:c r="M302" s="7" t="n"/>
      <x:c r="N302" s="7" t="n"/>
      <x:c r="O302">
        <x:f>IF(AND(N302&lt;&gt;"",L302&lt;&gt;""),N302-L302,"")</x:f>
      </x:c>
      <x:c r="P302">
        <x:f>IF(AND(N302&lt;&gt;"",M302&lt;&gt;""),IF(N302&lt;=M302,"Yes","No"),"")</x:f>
      </x:c>
      <x:c r="S302" s="8" t="n"/>
      <x:c r="T302">
        <x:f>IF(AND(G302&lt;&gt;"",S302&lt;&gt;""),ROUNDUP(G302*S302,0),"")</x:f>
      </x:c>
      <x:c r="X302">
        <x:f>IF(OR(V302&lt;&gt;"",W302&lt;&gt;""),V302+W302,"")</x:f>
      </x:c>
      <x:c r="Y302" s="9">
        <x:f>IF(AND(X302&lt;&gt;"",T302&lt;&gt;""),X302/T302,"")</x:f>
      </x:c>
    </x:row>
    <x:row r="303">
      <x:c r="L303" s="7" t="n"/>
      <x:c r="M303" s="7" t="n"/>
      <x:c r="N303" s="7" t="n"/>
      <x:c r="O303">
        <x:f>IF(AND(N303&lt;&gt;"",L303&lt;&gt;""),N303-L303,"")</x:f>
      </x:c>
      <x:c r="P303">
        <x:f>IF(AND(N303&lt;&gt;"",M303&lt;&gt;""),IF(N303&lt;=M303,"Yes","No"),"")</x:f>
      </x:c>
      <x:c r="S303" s="8" t="n"/>
      <x:c r="T303">
        <x:f>IF(AND(G303&lt;&gt;"",S303&lt;&gt;""),ROUNDUP(G303*S303,0),"")</x:f>
      </x:c>
      <x:c r="X303">
        <x:f>IF(OR(V303&lt;&gt;"",W303&lt;&gt;""),V303+W303,"")</x:f>
      </x:c>
      <x:c r="Y303" s="9">
        <x:f>IF(AND(X303&lt;&gt;"",T303&lt;&gt;""),X303/T303,"")</x:f>
      </x:c>
    </x:row>
    <x:row r="304">
      <x:c r="L304" s="7" t="n"/>
      <x:c r="M304" s="7" t="n"/>
      <x:c r="N304" s="7" t="n"/>
      <x:c r="O304">
        <x:f>IF(AND(N304&lt;&gt;"",L304&lt;&gt;""),N304-L304,"")</x:f>
      </x:c>
      <x:c r="P304">
        <x:f>IF(AND(N304&lt;&gt;"",M304&lt;&gt;""),IF(N304&lt;=M304,"Yes","No"),"")</x:f>
      </x:c>
      <x:c r="S304" s="8" t="n"/>
      <x:c r="T304">
        <x:f>IF(AND(G304&lt;&gt;"",S304&lt;&gt;""),ROUNDUP(G304*S304,0),"")</x:f>
      </x:c>
      <x:c r="X304">
        <x:f>IF(OR(V304&lt;&gt;"",W304&lt;&gt;""),V304+W304,"")</x:f>
      </x:c>
      <x:c r="Y304" s="9">
        <x:f>IF(AND(X304&lt;&gt;"",T304&lt;&gt;""),X304/T304,"")</x:f>
      </x:c>
    </x:row>
    <x:row r="305">
      <x:c r="L305" s="7" t="n"/>
      <x:c r="M305" s="7" t="n"/>
      <x:c r="N305" s="7" t="n"/>
      <x:c r="O305">
        <x:f>IF(AND(N305&lt;&gt;"",L305&lt;&gt;""),N305-L305,"")</x:f>
      </x:c>
      <x:c r="P305">
        <x:f>IF(AND(N305&lt;&gt;"",M305&lt;&gt;""),IF(N305&lt;=M305,"Yes","No"),"")</x:f>
      </x:c>
      <x:c r="S305" s="8" t="n"/>
      <x:c r="T305">
        <x:f>IF(AND(G305&lt;&gt;"",S305&lt;&gt;""),ROUNDUP(G305*S305,0),"")</x:f>
      </x:c>
      <x:c r="X305">
        <x:f>IF(OR(V305&lt;&gt;"",W305&lt;&gt;""),V305+W305,"")</x:f>
      </x:c>
      <x:c r="Y305" s="9">
        <x:f>IF(AND(X305&lt;&gt;"",T305&lt;&gt;""),X305/T305,"")</x:f>
      </x:c>
    </x:row>
    <x:row r="306">
      <x:c r="L306" s="7" t="n"/>
      <x:c r="M306" s="7" t="n"/>
      <x:c r="N306" s="7" t="n"/>
      <x:c r="O306">
        <x:f>IF(AND(N306&lt;&gt;"",L306&lt;&gt;""),N306-L306,"")</x:f>
      </x:c>
      <x:c r="P306">
        <x:f>IF(AND(N306&lt;&gt;"",M306&lt;&gt;""),IF(N306&lt;=M306,"Yes","No"),"")</x:f>
      </x:c>
      <x:c r="S306" s="8" t="n"/>
      <x:c r="T306">
        <x:f>IF(AND(G306&lt;&gt;"",S306&lt;&gt;""),ROUNDUP(G306*S306,0),"")</x:f>
      </x:c>
      <x:c r="X306">
        <x:f>IF(OR(V306&lt;&gt;"",W306&lt;&gt;""),V306+W306,"")</x:f>
      </x:c>
      <x:c r="Y306" s="9">
        <x:f>IF(AND(X306&lt;&gt;"",T306&lt;&gt;""),X306/T306,"")</x:f>
      </x:c>
    </x:row>
    <x:row r="307">
      <x:c r="L307" s="7" t="n"/>
      <x:c r="M307" s="7" t="n"/>
      <x:c r="N307" s="7" t="n"/>
      <x:c r="O307">
        <x:f>IF(AND(N307&lt;&gt;"",L307&lt;&gt;""),N307-L307,"")</x:f>
      </x:c>
      <x:c r="P307">
        <x:f>IF(AND(N307&lt;&gt;"",M307&lt;&gt;""),IF(N307&lt;=M307,"Yes","No"),"")</x:f>
      </x:c>
      <x:c r="S307" s="8" t="n"/>
      <x:c r="T307">
        <x:f>IF(AND(G307&lt;&gt;"",S307&lt;&gt;""),ROUNDUP(G307*S307,0),"")</x:f>
      </x:c>
      <x:c r="X307">
        <x:f>IF(OR(V307&lt;&gt;"",W307&lt;&gt;""),V307+W307,"")</x:f>
      </x:c>
      <x:c r="Y307" s="9">
        <x:f>IF(AND(X307&lt;&gt;"",T307&lt;&gt;""),X307/T307,"")</x:f>
      </x:c>
    </x:row>
    <x:row r="308">
      <x:c r="L308" s="7" t="n"/>
      <x:c r="M308" s="7" t="n"/>
      <x:c r="N308" s="7" t="n"/>
      <x:c r="O308">
        <x:f>IF(AND(N308&lt;&gt;"",L308&lt;&gt;""),N308-L308,"")</x:f>
      </x:c>
      <x:c r="P308">
        <x:f>IF(AND(N308&lt;&gt;"",M308&lt;&gt;""),IF(N308&lt;=M308,"Yes","No"),"")</x:f>
      </x:c>
      <x:c r="S308" s="8" t="n"/>
      <x:c r="T308">
        <x:f>IF(AND(G308&lt;&gt;"",S308&lt;&gt;""),ROUNDUP(G308*S308,0),"")</x:f>
      </x:c>
      <x:c r="X308">
        <x:f>IF(OR(V308&lt;&gt;"",W308&lt;&gt;""),V308+W308,"")</x:f>
      </x:c>
      <x:c r="Y308" s="9">
        <x:f>IF(AND(X308&lt;&gt;"",T308&lt;&gt;""),X308/T308,"")</x:f>
      </x:c>
    </x:row>
    <x:row r="309">
      <x:c r="L309" s="7" t="n"/>
      <x:c r="M309" s="7" t="n"/>
      <x:c r="N309" s="7" t="n"/>
      <x:c r="O309">
        <x:f>IF(AND(N309&lt;&gt;"",L309&lt;&gt;""),N309-L309,"")</x:f>
      </x:c>
      <x:c r="P309">
        <x:f>IF(AND(N309&lt;&gt;"",M309&lt;&gt;""),IF(N309&lt;=M309,"Yes","No"),"")</x:f>
      </x:c>
      <x:c r="S309" s="8" t="n"/>
      <x:c r="T309">
        <x:f>IF(AND(G309&lt;&gt;"",S309&lt;&gt;""),ROUNDUP(G309*S309,0),"")</x:f>
      </x:c>
      <x:c r="X309">
        <x:f>IF(OR(V309&lt;&gt;"",W309&lt;&gt;""),V309+W309,"")</x:f>
      </x:c>
      <x:c r="Y309" s="9">
        <x:f>IF(AND(X309&lt;&gt;"",T309&lt;&gt;""),X309/T309,"")</x:f>
      </x:c>
    </x:row>
    <x:row r="310">
      <x:c r="L310" s="7" t="n"/>
      <x:c r="M310" s="7" t="n"/>
      <x:c r="N310" s="7" t="n"/>
      <x:c r="O310">
        <x:f>IF(AND(N310&lt;&gt;"",L310&lt;&gt;""),N310-L310,"")</x:f>
      </x:c>
      <x:c r="P310">
        <x:f>IF(AND(N310&lt;&gt;"",M310&lt;&gt;""),IF(N310&lt;=M310,"Yes","No"),"")</x:f>
      </x:c>
      <x:c r="S310" s="8" t="n"/>
      <x:c r="T310">
        <x:f>IF(AND(G310&lt;&gt;"",S310&lt;&gt;""),ROUNDUP(G310*S310,0),"")</x:f>
      </x:c>
      <x:c r="X310">
        <x:f>IF(OR(V310&lt;&gt;"",W310&lt;&gt;""),V310+W310,"")</x:f>
      </x:c>
      <x:c r="Y310" s="9">
        <x:f>IF(AND(X310&lt;&gt;"",T310&lt;&gt;""),X310/T310,"")</x:f>
      </x:c>
    </x:row>
    <x:row r="311">
      <x:c r="L311" s="7" t="n"/>
      <x:c r="M311" s="7" t="n"/>
      <x:c r="N311" s="7" t="n"/>
      <x:c r="O311">
        <x:f>IF(AND(N311&lt;&gt;"",L311&lt;&gt;""),N311-L311,"")</x:f>
      </x:c>
      <x:c r="P311">
        <x:f>IF(AND(N311&lt;&gt;"",M311&lt;&gt;""),IF(N311&lt;=M311,"Yes","No"),"")</x:f>
      </x:c>
      <x:c r="S311" s="8" t="n"/>
      <x:c r="T311">
        <x:f>IF(AND(G311&lt;&gt;"",S311&lt;&gt;""),ROUNDUP(G311*S311,0),"")</x:f>
      </x:c>
      <x:c r="X311">
        <x:f>IF(OR(V311&lt;&gt;"",W311&lt;&gt;""),V311+W311,"")</x:f>
      </x:c>
      <x:c r="Y311" s="9">
        <x:f>IF(AND(X311&lt;&gt;"",T311&lt;&gt;""),X311/T311,"")</x:f>
      </x:c>
    </x:row>
    <x:row r="312">
      <x:c r="L312" s="7" t="n"/>
      <x:c r="M312" s="7" t="n"/>
      <x:c r="N312" s="7" t="n"/>
      <x:c r="O312">
        <x:f>IF(AND(N312&lt;&gt;"",L312&lt;&gt;""),N312-L312,"")</x:f>
      </x:c>
      <x:c r="P312">
        <x:f>IF(AND(N312&lt;&gt;"",M312&lt;&gt;""),IF(N312&lt;=M312,"Yes","No"),"")</x:f>
      </x:c>
      <x:c r="S312" s="8" t="n"/>
      <x:c r="T312">
        <x:f>IF(AND(G312&lt;&gt;"",S312&lt;&gt;""),ROUNDUP(G312*S312,0),"")</x:f>
      </x:c>
      <x:c r="X312">
        <x:f>IF(OR(V312&lt;&gt;"",W312&lt;&gt;""),V312+W312,"")</x:f>
      </x:c>
      <x:c r="Y312" s="9">
        <x:f>IF(AND(X312&lt;&gt;"",T312&lt;&gt;""),X312/T312,"")</x:f>
      </x:c>
    </x:row>
    <x:row r="313">
      <x:c r="L313" s="7" t="n"/>
      <x:c r="M313" s="7" t="n"/>
      <x:c r="N313" s="7" t="n"/>
      <x:c r="O313">
        <x:f>IF(AND(N313&lt;&gt;"",L313&lt;&gt;""),N313-L313,"")</x:f>
      </x:c>
      <x:c r="P313">
        <x:f>IF(AND(N313&lt;&gt;"",M313&lt;&gt;""),IF(N313&lt;=M313,"Yes","No"),"")</x:f>
      </x:c>
      <x:c r="S313" s="8" t="n"/>
      <x:c r="T313">
        <x:f>IF(AND(G313&lt;&gt;"",S313&lt;&gt;""),ROUNDUP(G313*S313,0),"")</x:f>
      </x:c>
      <x:c r="X313">
        <x:f>IF(OR(V313&lt;&gt;"",W313&lt;&gt;""),V313+W313,"")</x:f>
      </x:c>
      <x:c r="Y313" s="9">
        <x:f>IF(AND(X313&lt;&gt;"",T313&lt;&gt;""),X313/T313,"")</x:f>
      </x:c>
    </x:row>
    <x:row r="314">
      <x:c r="L314" s="7" t="n"/>
      <x:c r="M314" s="7" t="n"/>
      <x:c r="N314" s="7" t="n"/>
      <x:c r="O314">
        <x:f>IF(AND(N314&lt;&gt;"",L314&lt;&gt;""),N314-L314,"")</x:f>
      </x:c>
      <x:c r="P314">
        <x:f>IF(AND(N314&lt;&gt;"",M314&lt;&gt;""),IF(N314&lt;=M314,"Yes","No"),"")</x:f>
      </x:c>
      <x:c r="S314" s="8" t="n"/>
      <x:c r="T314">
        <x:f>IF(AND(G314&lt;&gt;"",S314&lt;&gt;""),ROUNDUP(G314*S314,0),"")</x:f>
      </x:c>
      <x:c r="X314">
        <x:f>IF(OR(V314&lt;&gt;"",W314&lt;&gt;""),V314+W314,"")</x:f>
      </x:c>
      <x:c r="Y314" s="9">
        <x:f>IF(AND(X314&lt;&gt;"",T314&lt;&gt;""),X314/T314,"")</x:f>
      </x:c>
    </x:row>
    <x:row r="315">
      <x:c r="L315" s="7" t="n"/>
      <x:c r="M315" s="7" t="n"/>
      <x:c r="N315" s="7" t="n"/>
      <x:c r="O315">
        <x:f>IF(AND(N315&lt;&gt;"",L315&lt;&gt;""),N315-L315,"")</x:f>
      </x:c>
      <x:c r="P315">
        <x:f>IF(AND(N315&lt;&gt;"",M315&lt;&gt;""),IF(N315&lt;=M315,"Yes","No"),"")</x:f>
      </x:c>
      <x:c r="S315" s="8" t="n"/>
      <x:c r="T315">
        <x:f>IF(AND(G315&lt;&gt;"",S315&lt;&gt;""),ROUNDUP(G315*S315,0),"")</x:f>
      </x:c>
      <x:c r="X315">
        <x:f>IF(OR(V315&lt;&gt;"",W315&lt;&gt;""),V315+W315,"")</x:f>
      </x:c>
      <x:c r="Y315" s="9">
        <x:f>IF(AND(X315&lt;&gt;"",T315&lt;&gt;""),X315/T315,"")</x:f>
      </x:c>
    </x:row>
    <x:row r="316">
      <x:c r="L316" s="7" t="n"/>
      <x:c r="M316" s="7" t="n"/>
      <x:c r="N316" s="7" t="n"/>
      <x:c r="O316">
        <x:f>IF(AND(N316&lt;&gt;"",L316&lt;&gt;""),N316-L316,"")</x:f>
      </x:c>
      <x:c r="P316">
        <x:f>IF(AND(N316&lt;&gt;"",M316&lt;&gt;""),IF(N316&lt;=M316,"Yes","No"),"")</x:f>
      </x:c>
      <x:c r="S316" s="8" t="n"/>
      <x:c r="T316">
        <x:f>IF(AND(G316&lt;&gt;"",S316&lt;&gt;""),ROUNDUP(G316*S316,0),"")</x:f>
      </x:c>
      <x:c r="X316">
        <x:f>IF(OR(V316&lt;&gt;"",W316&lt;&gt;""),V316+W316,"")</x:f>
      </x:c>
      <x:c r="Y316" s="9">
        <x:f>IF(AND(X316&lt;&gt;"",T316&lt;&gt;""),X316/T316,"")</x:f>
      </x:c>
    </x:row>
    <x:row r="317">
      <x:c r="L317" s="7" t="n"/>
      <x:c r="M317" s="7" t="n"/>
      <x:c r="N317" s="7" t="n"/>
      <x:c r="O317">
        <x:f>IF(AND(N317&lt;&gt;"",L317&lt;&gt;""),N317-L317,"")</x:f>
      </x:c>
      <x:c r="P317">
        <x:f>IF(AND(N317&lt;&gt;"",M317&lt;&gt;""),IF(N317&lt;=M317,"Yes","No"),"")</x:f>
      </x:c>
      <x:c r="S317" s="8" t="n"/>
      <x:c r="T317">
        <x:f>IF(AND(G317&lt;&gt;"",S317&lt;&gt;""),ROUNDUP(G317*S317,0),"")</x:f>
      </x:c>
      <x:c r="X317">
        <x:f>IF(OR(V317&lt;&gt;"",W317&lt;&gt;""),V317+W317,"")</x:f>
      </x:c>
      <x:c r="Y317" s="9">
        <x:f>IF(AND(X317&lt;&gt;"",T317&lt;&gt;""),X317/T317,"")</x:f>
      </x:c>
    </x:row>
    <x:row r="318">
      <x:c r="L318" s="7" t="n"/>
      <x:c r="M318" s="7" t="n"/>
      <x:c r="N318" s="7" t="n"/>
      <x:c r="O318">
        <x:f>IF(AND(N318&lt;&gt;"",L318&lt;&gt;""),N318-L318,"")</x:f>
      </x:c>
      <x:c r="P318">
        <x:f>IF(AND(N318&lt;&gt;"",M318&lt;&gt;""),IF(N318&lt;=M318,"Yes","No"),"")</x:f>
      </x:c>
      <x:c r="S318" s="8" t="n"/>
      <x:c r="T318">
        <x:f>IF(AND(G318&lt;&gt;"",S318&lt;&gt;""),ROUNDUP(G318*S318,0),"")</x:f>
      </x:c>
      <x:c r="X318">
        <x:f>IF(OR(V318&lt;&gt;"",W318&lt;&gt;""),V318+W318,"")</x:f>
      </x:c>
      <x:c r="Y318" s="9">
        <x:f>IF(AND(X318&lt;&gt;"",T318&lt;&gt;""),X318/T318,"")</x:f>
      </x:c>
    </x:row>
    <x:row r="319">
      <x:c r="L319" s="7" t="n"/>
      <x:c r="M319" s="7" t="n"/>
      <x:c r="N319" s="7" t="n"/>
      <x:c r="O319">
        <x:f>IF(AND(N319&lt;&gt;"",L319&lt;&gt;""),N319-L319,"")</x:f>
      </x:c>
      <x:c r="P319">
        <x:f>IF(AND(N319&lt;&gt;"",M319&lt;&gt;""),IF(N319&lt;=M319,"Yes","No"),"")</x:f>
      </x:c>
      <x:c r="S319" s="8" t="n"/>
      <x:c r="T319">
        <x:f>IF(AND(G319&lt;&gt;"",S319&lt;&gt;""),ROUNDUP(G319*S319,0),"")</x:f>
      </x:c>
      <x:c r="X319">
        <x:f>IF(OR(V319&lt;&gt;"",W319&lt;&gt;""),V319+W319,"")</x:f>
      </x:c>
      <x:c r="Y319" s="9">
        <x:f>IF(AND(X319&lt;&gt;"",T319&lt;&gt;""),X319/T319,"")</x:f>
      </x:c>
    </x:row>
    <x:row r="320">
      <x:c r="L320" s="7" t="n"/>
      <x:c r="M320" s="7" t="n"/>
      <x:c r="N320" s="7" t="n"/>
      <x:c r="O320">
        <x:f>IF(AND(N320&lt;&gt;"",L320&lt;&gt;""),N320-L320,"")</x:f>
      </x:c>
      <x:c r="P320">
        <x:f>IF(AND(N320&lt;&gt;"",M320&lt;&gt;""),IF(N320&lt;=M320,"Yes","No"),"")</x:f>
      </x:c>
      <x:c r="S320" s="8" t="n"/>
      <x:c r="T320">
        <x:f>IF(AND(G320&lt;&gt;"",S320&lt;&gt;""),ROUNDUP(G320*S320,0),"")</x:f>
      </x:c>
      <x:c r="X320">
        <x:f>IF(OR(V320&lt;&gt;"",W320&lt;&gt;""),V320+W320,"")</x:f>
      </x:c>
      <x:c r="Y320" s="9">
        <x:f>IF(AND(X320&lt;&gt;"",T320&lt;&gt;""),X320/T320,"")</x:f>
      </x:c>
    </x:row>
    <x:row r="321">
      <x:c r="L321" s="7" t="n"/>
      <x:c r="M321" s="7" t="n"/>
      <x:c r="N321" s="7" t="n"/>
      <x:c r="O321">
        <x:f>IF(AND(N321&lt;&gt;"",L321&lt;&gt;""),N321-L321,"")</x:f>
      </x:c>
      <x:c r="P321">
        <x:f>IF(AND(N321&lt;&gt;"",M321&lt;&gt;""),IF(N321&lt;=M321,"Yes","No"),"")</x:f>
      </x:c>
      <x:c r="S321" s="8" t="n"/>
      <x:c r="T321">
        <x:f>IF(AND(G321&lt;&gt;"",S321&lt;&gt;""),ROUNDUP(G321*S321,0),"")</x:f>
      </x:c>
      <x:c r="X321">
        <x:f>IF(OR(V321&lt;&gt;"",W321&lt;&gt;""),V321+W321,"")</x:f>
      </x:c>
      <x:c r="Y321" s="9">
        <x:f>IF(AND(X321&lt;&gt;"",T321&lt;&gt;""),X321/T321,"")</x:f>
      </x:c>
    </x:row>
    <x:row r="322">
      <x:c r="L322" s="7" t="n"/>
      <x:c r="M322" s="7" t="n"/>
      <x:c r="N322" s="7" t="n"/>
      <x:c r="O322">
        <x:f>IF(AND(N322&lt;&gt;"",L322&lt;&gt;""),N322-L322,"")</x:f>
      </x:c>
      <x:c r="P322">
        <x:f>IF(AND(N322&lt;&gt;"",M322&lt;&gt;""),IF(N322&lt;=M322,"Yes","No"),"")</x:f>
      </x:c>
      <x:c r="S322" s="8" t="n"/>
      <x:c r="T322">
        <x:f>IF(AND(G322&lt;&gt;"",S322&lt;&gt;""),ROUNDUP(G322*S322,0),"")</x:f>
      </x:c>
      <x:c r="X322">
        <x:f>IF(OR(V322&lt;&gt;"",W322&lt;&gt;""),V322+W322,"")</x:f>
      </x:c>
      <x:c r="Y322" s="9">
        <x:f>IF(AND(X322&lt;&gt;"",T322&lt;&gt;""),X322/T322,"")</x:f>
      </x:c>
    </x:row>
    <x:row r="323">
      <x:c r="L323" s="7" t="n"/>
      <x:c r="M323" s="7" t="n"/>
      <x:c r="N323" s="7" t="n"/>
      <x:c r="O323">
        <x:f>IF(AND(N323&lt;&gt;"",L323&lt;&gt;""),N323-L323,"")</x:f>
      </x:c>
      <x:c r="P323">
        <x:f>IF(AND(N323&lt;&gt;"",M323&lt;&gt;""),IF(N323&lt;=M323,"Yes","No"),"")</x:f>
      </x:c>
      <x:c r="S323" s="8" t="n"/>
      <x:c r="T323">
        <x:f>IF(AND(G323&lt;&gt;"",S323&lt;&gt;""),ROUNDUP(G323*S323,0),"")</x:f>
      </x:c>
      <x:c r="X323">
        <x:f>IF(OR(V323&lt;&gt;"",W323&lt;&gt;""),V323+W323,"")</x:f>
      </x:c>
      <x:c r="Y323" s="9">
        <x:f>IF(AND(X323&lt;&gt;"",T323&lt;&gt;""),X323/T323,"")</x:f>
      </x:c>
    </x:row>
    <x:row r="324">
      <x:c r="L324" s="7" t="n"/>
      <x:c r="M324" s="7" t="n"/>
      <x:c r="N324" s="7" t="n"/>
      <x:c r="O324">
        <x:f>IF(AND(N324&lt;&gt;"",L324&lt;&gt;""),N324-L324,"")</x:f>
      </x:c>
      <x:c r="P324">
        <x:f>IF(AND(N324&lt;&gt;"",M324&lt;&gt;""),IF(N324&lt;=M324,"Yes","No"),"")</x:f>
      </x:c>
      <x:c r="S324" s="8" t="n"/>
      <x:c r="T324">
        <x:f>IF(AND(G324&lt;&gt;"",S324&lt;&gt;""),ROUNDUP(G324*S324,0),"")</x:f>
      </x:c>
      <x:c r="X324">
        <x:f>IF(OR(V324&lt;&gt;"",W324&lt;&gt;""),V324+W324,"")</x:f>
      </x:c>
      <x:c r="Y324" s="9">
        <x:f>IF(AND(X324&lt;&gt;"",T324&lt;&gt;""),X324/T324,"")</x:f>
      </x:c>
    </x:row>
    <x:row r="325">
      <x:c r="L325" s="7" t="n"/>
      <x:c r="M325" s="7" t="n"/>
      <x:c r="N325" s="7" t="n"/>
      <x:c r="O325">
        <x:f>IF(AND(N325&lt;&gt;"",L325&lt;&gt;""),N325-L325,"")</x:f>
      </x:c>
      <x:c r="P325">
        <x:f>IF(AND(N325&lt;&gt;"",M325&lt;&gt;""),IF(N325&lt;=M325,"Yes","No"),"")</x:f>
      </x:c>
      <x:c r="S325" s="8" t="n"/>
      <x:c r="T325">
        <x:f>IF(AND(G325&lt;&gt;"",S325&lt;&gt;""),ROUNDUP(G325*S325,0),"")</x:f>
      </x:c>
      <x:c r="X325">
        <x:f>IF(OR(V325&lt;&gt;"",W325&lt;&gt;""),V325+W325,"")</x:f>
      </x:c>
      <x:c r="Y325" s="9">
        <x:f>IF(AND(X325&lt;&gt;"",T325&lt;&gt;""),X325/T325,"")</x:f>
      </x:c>
    </x:row>
    <x:row r="326">
      <x:c r="L326" s="7" t="n"/>
      <x:c r="M326" s="7" t="n"/>
      <x:c r="N326" s="7" t="n"/>
      <x:c r="O326">
        <x:f>IF(AND(N326&lt;&gt;"",L326&lt;&gt;""),N326-L326,"")</x:f>
      </x:c>
      <x:c r="P326">
        <x:f>IF(AND(N326&lt;&gt;"",M326&lt;&gt;""),IF(N326&lt;=M326,"Yes","No"),"")</x:f>
      </x:c>
      <x:c r="S326" s="8" t="n"/>
      <x:c r="T326">
        <x:f>IF(AND(G326&lt;&gt;"",S326&lt;&gt;""),ROUNDUP(G326*S326,0),"")</x:f>
      </x:c>
      <x:c r="X326">
        <x:f>IF(OR(V326&lt;&gt;"",W326&lt;&gt;""),V326+W326,"")</x:f>
      </x:c>
      <x:c r="Y326" s="9">
        <x:f>IF(AND(X326&lt;&gt;"",T326&lt;&gt;""),X326/T326,"")</x:f>
      </x:c>
    </x:row>
    <x:row r="327">
      <x:c r="L327" s="7" t="n"/>
      <x:c r="M327" s="7" t="n"/>
      <x:c r="N327" s="7" t="n"/>
      <x:c r="O327">
        <x:f>IF(AND(N327&lt;&gt;"",L327&lt;&gt;""),N327-L327,"")</x:f>
      </x:c>
      <x:c r="P327">
        <x:f>IF(AND(N327&lt;&gt;"",M327&lt;&gt;""),IF(N327&lt;=M327,"Yes","No"),"")</x:f>
      </x:c>
      <x:c r="S327" s="8" t="n"/>
      <x:c r="T327">
        <x:f>IF(AND(G327&lt;&gt;"",S327&lt;&gt;""),ROUNDUP(G327*S327,0),"")</x:f>
      </x:c>
      <x:c r="X327">
        <x:f>IF(OR(V327&lt;&gt;"",W327&lt;&gt;""),V327+W327,"")</x:f>
      </x:c>
      <x:c r="Y327" s="9">
        <x:f>IF(AND(X327&lt;&gt;"",T327&lt;&gt;""),X327/T327,"")</x:f>
      </x:c>
    </x:row>
    <x:row r="328">
      <x:c r="L328" s="7" t="n"/>
      <x:c r="M328" s="7" t="n"/>
      <x:c r="N328" s="7" t="n"/>
      <x:c r="O328">
        <x:f>IF(AND(N328&lt;&gt;"",L328&lt;&gt;""),N328-L328,"")</x:f>
      </x:c>
      <x:c r="P328">
        <x:f>IF(AND(N328&lt;&gt;"",M328&lt;&gt;""),IF(N328&lt;=M328,"Yes","No"),"")</x:f>
      </x:c>
      <x:c r="S328" s="8" t="n"/>
      <x:c r="T328">
        <x:f>IF(AND(G328&lt;&gt;"",S328&lt;&gt;""),ROUNDUP(G328*S328,0),"")</x:f>
      </x:c>
      <x:c r="X328">
        <x:f>IF(OR(V328&lt;&gt;"",W328&lt;&gt;""),V328+W328,"")</x:f>
      </x:c>
      <x:c r="Y328" s="9">
        <x:f>IF(AND(X328&lt;&gt;"",T328&lt;&gt;""),X328/T328,"")</x:f>
      </x:c>
    </x:row>
    <x:row r="329">
      <x:c r="L329" s="7" t="n"/>
      <x:c r="M329" s="7" t="n"/>
      <x:c r="N329" s="7" t="n"/>
      <x:c r="O329">
        <x:f>IF(AND(N329&lt;&gt;"",L329&lt;&gt;""),N329-L329,"")</x:f>
      </x:c>
      <x:c r="P329">
        <x:f>IF(AND(N329&lt;&gt;"",M329&lt;&gt;""),IF(N329&lt;=M329,"Yes","No"),"")</x:f>
      </x:c>
      <x:c r="S329" s="8" t="n"/>
      <x:c r="T329">
        <x:f>IF(AND(G329&lt;&gt;"",S329&lt;&gt;""),ROUNDUP(G329*S329,0),"")</x:f>
      </x:c>
      <x:c r="X329">
        <x:f>IF(OR(V329&lt;&gt;"",W329&lt;&gt;""),V329+W329,"")</x:f>
      </x:c>
      <x:c r="Y329" s="9">
        <x:f>IF(AND(X329&lt;&gt;"",T329&lt;&gt;""),X329/T329,"")</x:f>
      </x:c>
    </x:row>
    <x:row r="330">
      <x:c r="L330" s="7" t="n"/>
      <x:c r="M330" s="7" t="n"/>
      <x:c r="N330" s="7" t="n"/>
      <x:c r="O330">
        <x:f>IF(AND(N330&lt;&gt;"",L330&lt;&gt;""),N330-L330,"")</x:f>
      </x:c>
      <x:c r="P330">
        <x:f>IF(AND(N330&lt;&gt;"",M330&lt;&gt;""),IF(N330&lt;=M330,"Yes","No"),"")</x:f>
      </x:c>
      <x:c r="S330" s="8" t="n"/>
      <x:c r="T330">
        <x:f>IF(AND(G330&lt;&gt;"",S330&lt;&gt;""),ROUNDUP(G330*S330,0),"")</x:f>
      </x:c>
      <x:c r="X330">
        <x:f>IF(OR(V330&lt;&gt;"",W330&lt;&gt;""),V330+W330,"")</x:f>
      </x:c>
      <x:c r="Y330" s="9">
        <x:f>IF(AND(X330&lt;&gt;"",T330&lt;&gt;""),X330/T330,"")</x:f>
      </x:c>
    </x:row>
    <x:row r="331">
      <x:c r="L331" s="7" t="n"/>
      <x:c r="M331" s="7" t="n"/>
      <x:c r="N331" s="7" t="n"/>
      <x:c r="O331">
        <x:f>IF(AND(N331&lt;&gt;"",L331&lt;&gt;""),N331-L331,"")</x:f>
      </x:c>
      <x:c r="P331">
        <x:f>IF(AND(N331&lt;&gt;"",M331&lt;&gt;""),IF(N331&lt;=M331,"Yes","No"),"")</x:f>
      </x:c>
      <x:c r="S331" s="8" t="n"/>
      <x:c r="T331">
        <x:f>IF(AND(G331&lt;&gt;"",S331&lt;&gt;""),ROUNDUP(G331*S331,0),"")</x:f>
      </x:c>
      <x:c r="X331">
        <x:f>IF(OR(V331&lt;&gt;"",W331&lt;&gt;""),V331+W331,"")</x:f>
      </x:c>
      <x:c r="Y331" s="9">
        <x:f>IF(AND(X331&lt;&gt;"",T331&lt;&gt;""),X331/T331,"")</x:f>
      </x:c>
    </x:row>
    <x:row r="332">
      <x:c r="L332" s="7" t="n"/>
      <x:c r="M332" s="7" t="n"/>
      <x:c r="N332" s="7" t="n"/>
      <x:c r="O332">
        <x:f>IF(AND(N332&lt;&gt;"",L332&lt;&gt;""),N332-L332,"")</x:f>
      </x:c>
      <x:c r="P332">
        <x:f>IF(AND(N332&lt;&gt;"",M332&lt;&gt;""),IF(N332&lt;=M332,"Yes","No"),"")</x:f>
      </x:c>
      <x:c r="S332" s="8" t="n"/>
      <x:c r="T332">
        <x:f>IF(AND(G332&lt;&gt;"",S332&lt;&gt;""),ROUNDUP(G332*S332,0),"")</x:f>
      </x:c>
      <x:c r="X332">
        <x:f>IF(OR(V332&lt;&gt;"",W332&lt;&gt;""),V332+W332,"")</x:f>
      </x:c>
      <x:c r="Y332" s="9">
        <x:f>IF(AND(X332&lt;&gt;"",T332&lt;&gt;""),X332/T332,"")</x:f>
      </x:c>
    </x:row>
    <x:row r="333">
      <x:c r="L333" s="7" t="n"/>
      <x:c r="M333" s="7" t="n"/>
      <x:c r="N333" s="7" t="n"/>
      <x:c r="O333">
        <x:f>IF(AND(N333&lt;&gt;"",L333&lt;&gt;""),N333-L333,"")</x:f>
      </x:c>
      <x:c r="P333">
        <x:f>IF(AND(N333&lt;&gt;"",M333&lt;&gt;""),IF(N333&lt;=M333,"Yes","No"),"")</x:f>
      </x:c>
      <x:c r="S333" s="8" t="n"/>
      <x:c r="T333">
        <x:f>IF(AND(G333&lt;&gt;"",S333&lt;&gt;""),ROUNDUP(G333*S333,0),"")</x:f>
      </x:c>
      <x:c r="X333">
        <x:f>IF(OR(V333&lt;&gt;"",W333&lt;&gt;""),V333+W333,"")</x:f>
      </x:c>
      <x:c r="Y333" s="9">
        <x:f>IF(AND(X333&lt;&gt;"",T333&lt;&gt;""),X333/T333,"")</x:f>
      </x:c>
    </x:row>
    <x:row r="334">
      <x:c r="L334" s="7" t="n"/>
      <x:c r="M334" s="7" t="n"/>
      <x:c r="N334" s="7" t="n"/>
      <x:c r="O334">
        <x:f>IF(AND(N334&lt;&gt;"",L334&lt;&gt;""),N334-L334,"")</x:f>
      </x:c>
      <x:c r="P334">
        <x:f>IF(AND(N334&lt;&gt;"",M334&lt;&gt;""),IF(N334&lt;=M334,"Yes","No"),"")</x:f>
      </x:c>
      <x:c r="S334" s="8" t="n"/>
      <x:c r="T334">
        <x:f>IF(AND(G334&lt;&gt;"",S334&lt;&gt;""),ROUNDUP(G334*S334,0),"")</x:f>
      </x:c>
      <x:c r="X334">
        <x:f>IF(OR(V334&lt;&gt;"",W334&lt;&gt;""),V334+W334,"")</x:f>
      </x:c>
      <x:c r="Y334" s="9">
        <x:f>IF(AND(X334&lt;&gt;"",T334&lt;&gt;""),X334/T334,"")</x:f>
      </x:c>
    </x:row>
    <x:row r="335">
      <x:c r="L335" s="7" t="n"/>
      <x:c r="M335" s="7" t="n"/>
      <x:c r="N335" s="7" t="n"/>
      <x:c r="O335">
        <x:f>IF(AND(N335&lt;&gt;"",L335&lt;&gt;""),N335-L335,"")</x:f>
      </x:c>
      <x:c r="P335">
        <x:f>IF(AND(N335&lt;&gt;"",M335&lt;&gt;""),IF(N335&lt;=M335,"Yes","No"),"")</x:f>
      </x:c>
      <x:c r="S335" s="8" t="n"/>
      <x:c r="T335">
        <x:f>IF(AND(G335&lt;&gt;"",S335&lt;&gt;""),ROUNDUP(G335*S335,0),"")</x:f>
      </x:c>
      <x:c r="X335">
        <x:f>IF(OR(V335&lt;&gt;"",W335&lt;&gt;""),V335+W335,"")</x:f>
      </x:c>
      <x:c r="Y335" s="9">
        <x:f>IF(AND(X335&lt;&gt;"",T335&lt;&gt;""),X335/T335,"")</x:f>
      </x:c>
    </x:row>
    <x:row r="336">
      <x:c r="L336" s="7" t="n"/>
      <x:c r="M336" s="7" t="n"/>
      <x:c r="N336" s="7" t="n"/>
      <x:c r="O336">
        <x:f>IF(AND(N336&lt;&gt;"",L336&lt;&gt;""),N336-L336,"")</x:f>
      </x:c>
      <x:c r="P336">
        <x:f>IF(AND(N336&lt;&gt;"",M336&lt;&gt;""),IF(N336&lt;=M336,"Yes","No"),"")</x:f>
      </x:c>
      <x:c r="S336" s="8" t="n"/>
      <x:c r="T336">
        <x:f>IF(AND(G336&lt;&gt;"",S336&lt;&gt;""),ROUNDUP(G336*S336,0),"")</x:f>
      </x:c>
      <x:c r="X336">
        <x:f>IF(OR(V336&lt;&gt;"",W336&lt;&gt;""),V336+W336,"")</x:f>
      </x:c>
      <x:c r="Y336" s="9">
        <x:f>IF(AND(X336&lt;&gt;"",T336&lt;&gt;""),X336/T336,"")</x:f>
      </x:c>
    </x:row>
    <x:row r="337">
      <x:c r="L337" s="7" t="n"/>
      <x:c r="M337" s="7" t="n"/>
      <x:c r="N337" s="7" t="n"/>
      <x:c r="O337">
        <x:f>IF(AND(N337&lt;&gt;"",L337&lt;&gt;""),N337-L337,"")</x:f>
      </x:c>
      <x:c r="P337">
        <x:f>IF(AND(N337&lt;&gt;"",M337&lt;&gt;""),IF(N337&lt;=M337,"Yes","No"),"")</x:f>
      </x:c>
      <x:c r="S337" s="8" t="n"/>
      <x:c r="T337">
        <x:f>IF(AND(G337&lt;&gt;"",S337&lt;&gt;""),ROUNDUP(G337*S337,0),"")</x:f>
      </x:c>
      <x:c r="X337">
        <x:f>IF(OR(V337&lt;&gt;"",W337&lt;&gt;""),V337+W337,"")</x:f>
      </x:c>
      <x:c r="Y337" s="9">
        <x:f>IF(AND(X337&lt;&gt;"",T337&lt;&gt;""),X337/T337,"")</x:f>
      </x:c>
    </x:row>
    <x:row r="338">
      <x:c r="L338" s="7" t="n"/>
      <x:c r="M338" s="7" t="n"/>
      <x:c r="N338" s="7" t="n"/>
      <x:c r="O338">
        <x:f>IF(AND(N338&lt;&gt;"",L338&lt;&gt;""),N338-L338,"")</x:f>
      </x:c>
      <x:c r="P338">
        <x:f>IF(AND(N338&lt;&gt;"",M338&lt;&gt;""),IF(N338&lt;=M338,"Yes","No"),"")</x:f>
      </x:c>
      <x:c r="S338" s="8" t="n"/>
      <x:c r="T338">
        <x:f>IF(AND(G338&lt;&gt;"",S338&lt;&gt;""),ROUNDUP(G338*S338,0),"")</x:f>
      </x:c>
      <x:c r="X338">
        <x:f>IF(OR(V338&lt;&gt;"",W338&lt;&gt;""),V338+W338,"")</x:f>
      </x:c>
      <x:c r="Y338" s="9">
        <x:f>IF(AND(X338&lt;&gt;"",T338&lt;&gt;""),X338/T338,"")</x:f>
      </x:c>
    </x:row>
    <x:row r="339">
      <x:c r="L339" s="7" t="n"/>
      <x:c r="M339" s="7" t="n"/>
      <x:c r="N339" s="7" t="n"/>
      <x:c r="O339">
        <x:f>IF(AND(N339&lt;&gt;"",L339&lt;&gt;""),N339-L339,"")</x:f>
      </x:c>
      <x:c r="P339">
        <x:f>IF(AND(N339&lt;&gt;"",M339&lt;&gt;""),IF(N339&lt;=M339,"Yes","No"),"")</x:f>
      </x:c>
      <x:c r="S339" s="8" t="n"/>
      <x:c r="T339">
        <x:f>IF(AND(G339&lt;&gt;"",S339&lt;&gt;""),ROUNDUP(G339*S339,0),"")</x:f>
      </x:c>
      <x:c r="X339">
        <x:f>IF(OR(V339&lt;&gt;"",W339&lt;&gt;""),V339+W339,"")</x:f>
      </x:c>
      <x:c r="Y339" s="9">
        <x:f>IF(AND(X339&lt;&gt;"",T339&lt;&gt;""),X339/T339,"")</x:f>
      </x:c>
    </x:row>
    <x:row r="340">
      <x:c r="L340" s="7" t="n"/>
      <x:c r="M340" s="7" t="n"/>
      <x:c r="N340" s="7" t="n"/>
      <x:c r="O340">
        <x:f>IF(AND(N340&lt;&gt;"",L340&lt;&gt;""),N340-L340,"")</x:f>
      </x:c>
      <x:c r="P340">
        <x:f>IF(AND(N340&lt;&gt;"",M340&lt;&gt;""),IF(N340&lt;=M340,"Yes","No"),"")</x:f>
      </x:c>
      <x:c r="S340" s="8" t="n"/>
      <x:c r="T340">
        <x:f>IF(AND(G340&lt;&gt;"",S340&lt;&gt;""),ROUNDUP(G340*S340,0),"")</x:f>
      </x:c>
      <x:c r="X340">
        <x:f>IF(OR(V340&lt;&gt;"",W340&lt;&gt;""),V340+W340,"")</x:f>
      </x:c>
      <x:c r="Y340" s="9">
        <x:f>IF(AND(X340&lt;&gt;"",T340&lt;&gt;""),X340/T340,"")</x:f>
      </x:c>
    </x:row>
    <x:row r="341">
      <x:c r="L341" s="7" t="n"/>
      <x:c r="M341" s="7" t="n"/>
      <x:c r="N341" s="7" t="n"/>
      <x:c r="O341">
        <x:f>IF(AND(N341&lt;&gt;"",L341&lt;&gt;""),N341-L341,"")</x:f>
      </x:c>
      <x:c r="P341">
        <x:f>IF(AND(N341&lt;&gt;"",M341&lt;&gt;""),IF(N341&lt;=M341,"Yes","No"),"")</x:f>
      </x:c>
      <x:c r="S341" s="8" t="n"/>
      <x:c r="T341">
        <x:f>IF(AND(G341&lt;&gt;"",S341&lt;&gt;""),ROUNDUP(G341*S341,0),"")</x:f>
      </x:c>
      <x:c r="X341">
        <x:f>IF(OR(V341&lt;&gt;"",W341&lt;&gt;""),V341+W341,"")</x:f>
      </x:c>
      <x:c r="Y341" s="9">
        <x:f>IF(AND(X341&lt;&gt;"",T341&lt;&gt;""),X341/T341,"")</x:f>
      </x:c>
    </x:row>
    <x:row r="342">
      <x:c r="L342" s="7" t="n"/>
      <x:c r="M342" s="7" t="n"/>
      <x:c r="N342" s="7" t="n"/>
      <x:c r="O342">
        <x:f>IF(AND(N342&lt;&gt;"",L342&lt;&gt;""),N342-L342,"")</x:f>
      </x:c>
      <x:c r="P342">
        <x:f>IF(AND(N342&lt;&gt;"",M342&lt;&gt;""),IF(N342&lt;=M342,"Yes","No"),"")</x:f>
      </x:c>
      <x:c r="S342" s="8" t="n"/>
      <x:c r="T342">
        <x:f>IF(AND(G342&lt;&gt;"",S342&lt;&gt;""),ROUNDUP(G342*S342,0),"")</x:f>
      </x:c>
      <x:c r="X342">
        <x:f>IF(OR(V342&lt;&gt;"",W342&lt;&gt;""),V342+W342,"")</x:f>
      </x:c>
      <x:c r="Y342" s="9">
        <x:f>IF(AND(X342&lt;&gt;"",T342&lt;&gt;""),X342/T342,"")</x:f>
      </x:c>
    </x:row>
    <x:row r="343">
      <x:c r="L343" s="7" t="n"/>
      <x:c r="M343" s="7" t="n"/>
      <x:c r="N343" s="7" t="n"/>
      <x:c r="O343">
        <x:f>IF(AND(N343&lt;&gt;"",L343&lt;&gt;""),N343-L343,"")</x:f>
      </x:c>
      <x:c r="P343">
        <x:f>IF(AND(N343&lt;&gt;"",M343&lt;&gt;""),IF(N343&lt;=M343,"Yes","No"),"")</x:f>
      </x:c>
      <x:c r="S343" s="8" t="n"/>
      <x:c r="T343">
        <x:f>IF(AND(G343&lt;&gt;"",S343&lt;&gt;""),ROUNDUP(G343*S343,0),"")</x:f>
      </x:c>
      <x:c r="X343">
        <x:f>IF(OR(V343&lt;&gt;"",W343&lt;&gt;""),V343+W343,"")</x:f>
      </x:c>
      <x:c r="Y343" s="9">
        <x:f>IF(AND(X343&lt;&gt;"",T343&lt;&gt;""),X343/T343,"")</x:f>
      </x:c>
    </x:row>
    <x:row r="344">
      <x:c r="L344" s="7" t="n"/>
      <x:c r="M344" s="7" t="n"/>
      <x:c r="N344" s="7" t="n"/>
      <x:c r="O344">
        <x:f>IF(AND(N344&lt;&gt;"",L344&lt;&gt;""),N344-L344,"")</x:f>
      </x:c>
      <x:c r="P344">
        <x:f>IF(AND(N344&lt;&gt;"",M344&lt;&gt;""),IF(N344&lt;=M344,"Yes","No"),"")</x:f>
      </x:c>
      <x:c r="S344" s="8" t="n"/>
      <x:c r="T344">
        <x:f>IF(AND(G344&lt;&gt;"",S344&lt;&gt;""),ROUNDUP(G344*S344,0),"")</x:f>
      </x:c>
      <x:c r="X344">
        <x:f>IF(OR(V344&lt;&gt;"",W344&lt;&gt;""),V344+W344,"")</x:f>
      </x:c>
      <x:c r="Y344" s="9">
        <x:f>IF(AND(X344&lt;&gt;"",T344&lt;&gt;""),X344/T344,"")</x:f>
      </x:c>
    </x:row>
    <x:row r="345">
      <x:c r="L345" s="7" t="n"/>
      <x:c r="M345" s="7" t="n"/>
      <x:c r="N345" s="7" t="n"/>
      <x:c r="O345">
        <x:f>IF(AND(N345&lt;&gt;"",L345&lt;&gt;""),N345-L345,"")</x:f>
      </x:c>
      <x:c r="P345">
        <x:f>IF(AND(N345&lt;&gt;"",M345&lt;&gt;""),IF(N345&lt;=M345,"Yes","No"),"")</x:f>
      </x:c>
      <x:c r="S345" s="8" t="n"/>
      <x:c r="T345">
        <x:f>IF(AND(G345&lt;&gt;"",S345&lt;&gt;""),ROUNDUP(G345*S345,0),"")</x:f>
      </x:c>
      <x:c r="X345">
        <x:f>IF(OR(V345&lt;&gt;"",W345&lt;&gt;""),V345+W345,"")</x:f>
      </x:c>
      <x:c r="Y345" s="9">
        <x:f>IF(AND(X345&lt;&gt;"",T345&lt;&gt;""),X345/T345,"")</x:f>
      </x:c>
    </x:row>
    <x:row r="346">
      <x:c r="L346" s="7" t="n"/>
      <x:c r="M346" s="7" t="n"/>
      <x:c r="N346" s="7" t="n"/>
      <x:c r="O346">
        <x:f>IF(AND(N346&lt;&gt;"",L346&lt;&gt;""),N346-L346,"")</x:f>
      </x:c>
      <x:c r="P346">
        <x:f>IF(AND(N346&lt;&gt;"",M346&lt;&gt;""),IF(N346&lt;=M346,"Yes","No"),"")</x:f>
      </x:c>
      <x:c r="S346" s="8" t="n"/>
      <x:c r="T346">
        <x:f>IF(AND(G346&lt;&gt;"",S346&lt;&gt;""),ROUNDUP(G346*S346,0),"")</x:f>
      </x:c>
      <x:c r="X346">
        <x:f>IF(OR(V346&lt;&gt;"",W346&lt;&gt;""),V346+W346,"")</x:f>
      </x:c>
      <x:c r="Y346" s="9">
        <x:f>IF(AND(X346&lt;&gt;"",T346&lt;&gt;""),X346/T346,"")</x:f>
      </x:c>
    </x:row>
    <x:row r="347">
      <x:c r="L347" s="7" t="n"/>
      <x:c r="M347" s="7" t="n"/>
      <x:c r="N347" s="7" t="n"/>
      <x:c r="O347">
        <x:f>IF(AND(N347&lt;&gt;"",L347&lt;&gt;""),N347-L347,"")</x:f>
      </x:c>
      <x:c r="P347">
        <x:f>IF(AND(N347&lt;&gt;"",M347&lt;&gt;""),IF(N347&lt;=M347,"Yes","No"),"")</x:f>
      </x:c>
      <x:c r="S347" s="8" t="n"/>
      <x:c r="T347">
        <x:f>IF(AND(G347&lt;&gt;"",S347&lt;&gt;""),ROUNDUP(G347*S347,0),"")</x:f>
      </x:c>
      <x:c r="X347">
        <x:f>IF(OR(V347&lt;&gt;"",W347&lt;&gt;""),V347+W347,"")</x:f>
      </x:c>
      <x:c r="Y347" s="9">
        <x:f>IF(AND(X347&lt;&gt;"",T347&lt;&gt;""),X347/T347,"")</x:f>
      </x:c>
    </x:row>
    <x:row r="348">
      <x:c r="L348" s="7" t="n"/>
      <x:c r="M348" s="7" t="n"/>
      <x:c r="N348" s="7" t="n"/>
      <x:c r="O348">
        <x:f>IF(AND(N348&lt;&gt;"",L348&lt;&gt;""),N348-L348,"")</x:f>
      </x:c>
      <x:c r="P348">
        <x:f>IF(AND(N348&lt;&gt;"",M348&lt;&gt;""),IF(N348&lt;=M348,"Yes","No"),"")</x:f>
      </x:c>
      <x:c r="S348" s="8" t="n"/>
      <x:c r="T348">
        <x:f>IF(AND(G348&lt;&gt;"",S348&lt;&gt;""),ROUNDUP(G348*S348,0),"")</x:f>
      </x:c>
      <x:c r="X348">
        <x:f>IF(OR(V348&lt;&gt;"",W348&lt;&gt;""),V348+W348,"")</x:f>
      </x:c>
      <x:c r="Y348" s="9">
        <x:f>IF(AND(X348&lt;&gt;"",T348&lt;&gt;""),X348/T348,"")</x:f>
      </x:c>
    </x:row>
    <x:row r="349">
      <x:c r="L349" s="7" t="n"/>
      <x:c r="M349" s="7" t="n"/>
      <x:c r="N349" s="7" t="n"/>
      <x:c r="O349">
        <x:f>IF(AND(N349&lt;&gt;"",L349&lt;&gt;""),N349-L349,"")</x:f>
      </x:c>
      <x:c r="P349">
        <x:f>IF(AND(N349&lt;&gt;"",M349&lt;&gt;""),IF(N349&lt;=M349,"Yes","No"),"")</x:f>
      </x:c>
      <x:c r="S349" s="8" t="n"/>
      <x:c r="T349">
        <x:f>IF(AND(G349&lt;&gt;"",S349&lt;&gt;""),ROUNDUP(G349*S349,0),"")</x:f>
      </x:c>
      <x:c r="X349">
        <x:f>IF(OR(V349&lt;&gt;"",W349&lt;&gt;""),V349+W349,"")</x:f>
      </x:c>
      <x:c r="Y349" s="9">
        <x:f>IF(AND(X349&lt;&gt;"",T349&lt;&gt;""),X349/T349,"")</x:f>
      </x:c>
    </x:row>
    <x:row r="350">
      <x:c r="L350" s="7" t="n"/>
      <x:c r="M350" s="7" t="n"/>
      <x:c r="N350" s="7" t="n"/>
      <x:c r="O350">
        <x:f>IF(AND(N350&lt;&gt;"",L350&lt;&gt;""),N350-L350,"")</x:f>
      </x:c>
      <x:c r="P350">
        <x:f>IF(AND(N350&lt;&gt;"",M350&lt;&gt;""),IF(N350&lt;=M350,"Yes","No"),"")</x:f>
      </x:c>
      <x:c r="S350" s="8" t="n"/>
      <x:c r="T350">
        <x:f>IF(AND(G350&lt;&gt;"",S350&lt;&gt;""),ROUNDUP(G350*S350,0),"")</x:f>
      </x:c>
      <x:c r="X350">
        <x:f>IF(OR(V350&lt;&gt;"",W350&lt;&gt;""),V350+W350,"")</x:f>
      </x:c>
      <x:c r="Y350" s="9">
        <x:f>IF(AND(X350&lt;&gt;"",T350&lt;&gt;""),X350/T350,"")</x:f>
      </x:c>
    </x:row>
    <x:row r="351">
      <x:c r="L351" s="7" t="n"/>
      <x:c r="M351" s="7" t="n"/>
      <x:c r="N351" s="7" t="n"/>
      <x:c r="O351">
        <x:f>IF(AND(N351&lt;&gt;"",L351&lt;&gt;""),N351-L351,"")</x:f>
      </x:c>
      <x:c r="P351">
        <x:f>IF(AND(N351&lt;&gt;"",M351&lt;&gt;""),IF(N351&lt;=M351,"Yes","No"),"")</x:f>
      </x:c>
      <x:c r="S351" s="8" t="n"/>
      <x:c r="T351">
        <x:f>IF(AND(G351&lt;&gt;"",S351&lt;&gt;""),ROUNDUP(G351*S351,0),"")</x:f>
      </x:c>
      <x:c r="X351">
        <x:f>IF(OR(V351&lt;&gt;"",W351&lt;&gt;""),V351+W351,"")</x:f>
      </x:c>
      <x:c r="Y351" s="9">
        <x:f>IF(AND(X351&lt;&gt;"",T351&lt;&gt;""),X351/T351,"")</x:f>
      </x:c>
    </x:row>
    <x:row r="352">
      <x:c r="L352" s="7" t="n"/>
      <x:c r="M352" s="7" t="n"/>
      <x:c r="N352" s="7" t="n"/>
      <x:c r="O352">
        <x:f>IF(AND(N352&lt;&gt;"",L352&lt;&gt;""),N352-L352,"")</x:f>
      </x:c>
      <x:c r="P352">
        <x:f>IF(AND(N352&lt;&gt;"",M352&lt;&gt;""),IF(N352&lt;=M352,"Yes","No"),"")</x:f>
      </x:c>
      <x:c r="S352" s="8" t="n"/>
      <x:c r="T352">
        <x:f>IF(AND(G352&lt;&gt;"",S352&lt;&gt;""),ROUNDUP(G352*S352,0),"")</x:f>
      </x:c>
      <x:c r="X352">
        <x:f>IF(OR(V352&lt;&gt;"",W352&lt;&gt;""),V352+W352,"")</x:f>
      </x:c>
      <x:c r="Y352" s="9">
        <x:f>IF(AND(X352&lt;&gt;"",T352&lt;&gt;""),X352/T352,"")</x:f>
      </x:c>
    </x:row>
    <x:row r="353">
      <x:c r="L353" s="7" t="n"/>
      <x:c r="M353" s="7" t="n"/>
      <x:c r="N353" s="7" t="n"/>
      <x:c r="O353">
        <x:f>IF(AND(N353&lt;&gt;"",L353&lt;&gt;""),N353-L353,"")</x:f>
      </x:c>
      <x:c r="P353">
        <x:f>IF(AND(N353&lt;&gt;"",M353&lt;&gt;""),IF(N353&lt;=M353,"Yes","No"),"")</x:f>
      </x:c>
      <x:c r="S353" s="8" t="n"/>
      <x:c r="T353">
        <x:f>IF(AND(G353&lt;&gt;"",S353&lt;&gt;""),ROUNDUP(G353*S353,0),"")</x:f>
      </x:c>
      <x:c r="X353">
        <x:f>IF(OR(V353&lt;&gt;"",W353&lt;&gt;""),V353+W353,"")</x:f>
      </x:c>
      <x:c r="Y353" s="9">
        <x:f>IF(AND(X353&lt;&gt;"",T353&lt;&gt;""),X353/T353,"")</x:f>
      </x:c>
    </x:row>
    <x:row r="354">
      <x:c r="L354" s="7" t="n"/>
      <x:c r="M354" s="7" t="n"/>
      <x:c r="N354" s="7" t="n"/>
      <x:c r="O354">
        <x:f>IF(AND(N354&lt;&gt;"",L354&lt;&gt;""),N354-L354,"")</x:f>
      </x:c>
      <x:c r="P354">
        <x:f>IF(AND(N354&lt;&gt;"",M354&lt;&gt;""),IF(N354&lt;=M354,"Yes","No"),"")</x:f>
      </x:c>
      <x:c r="S354" s="8" t="n"/>
      <x:c r="T354">
        <x:f>IF(AND(G354&lt;&gt;"",S354&lt;&gt;""),ROUNDUP(G354*S354,0),"")</x:f>
      </x:c>
      <x:c r="X354">
        <x:f>IF(OR(V354&lt;&gt;"",W354&lt;&gt;""),V354+W354,"")</x:f>
      </x:c>
      <x:c r="Y354" s="9">
        <x:f>IF(AND(X354&lt;&gt;"",T354&lt;&gt;""),X354/T354,"")</x:f>
      </x:c>
    </x:row>
    <x:row r="355">
      <x:c r="L355" s="7" t="n"/>
      <x:c r="M355" s="7" t="n"/>
      <x:c r="N355" s="7" t="n"/>
      <x:c r="O355">
        <x:f>IF(AND(N355&lt;&gt;"",L355&lt;&gt;""),N355-L355,"")</x:f>
      </x:c>
      <x:c r="P355">
        <x:f>IF(AND(N355&lt;&gt;"",M355&lt;&gt;""),IF(N355&lt;=M355,"Yes","No"),"")</x:f>
      </x:c>
      <x:c r="S355" s="8" t="n"/>
      <x:c r="T355">
        <x:f>IF(AND(G355&lt;&gt;"",S355&lt;&gt;""),ROUNDUP(G355*S355,0),"")</x:f>
      </x:c>
      <x:c r="X355">
        <x:f>IF(OR(V355&lt;&gt;"",W355&lt;&gt;""),V355+W355,"")</x:f>
      </x:c>
      <x:c r="Y355" s="9">
        <x:f>IF(AND(X355&lt;&gt;"",T355&lt;&gt;""),X355/T355,"")</x:f>
      </x:c>
    </x:row>
    <x:row r="356">
      <x:c r="L356" s="7" t="n"/>
      <x:c r="M356" s="7" t="n"/>
      <x:c r="N356" s="7" t="n"/>
      <x:c r="O356">
        <x:f>IF(AND(N356&lt;&gt;"",L356&lt;&gt;""),N356-L356,"")</x:f>
      </x:c>
      <x:c r="P356">
        <x:f>IF(AND(N356&lt;&gt;"",M356&lt;&gt;""),IF(N356&lt;=M356,"Yes","No"),"")</x:f>
      </x:c>
      <x:c r="S356" s="8" t="n"/>
      <x:c r="T356">
        <x:f>IF(AND(G356&lt;&gt;"",S356&lt;&gt;""),ROUNDUP(G356*S356,0),"")</x:f>
      </x:c>
      <x:c r="X356">
        <x:f>IF(OR(V356&lt;&gt;"",W356&lt;&gt;""),V356+W356,"")</x:f>
      </x:c>
      <x:c r="Y356" s="9">
        <x:f>IF(AND(X356&lt;&gt;"",T356&lt;&gt;""),X356/T356,"")</x:f>
      </x:c>
    </x:row>
    <x:row r="357">
      <x:c r="L357" s="7" t="n"/>
      <x:c r="M357" s="7" t="n"/>
      <x:c r="N357" s="7" t="n"/>
      <x:c r="O357">
        <x:f>IF(AND(N357&lt;&gt;"",L357&lt;&gt;""),N357-L357,"")</x:f>
      </x:c>
      <x:c r="P357">
        <x:f>IF(AND(N357&lt;&gt;"",M357&lt;&gt;""),IF(N357&lt;=M357,"Yes","No"),"")</x:f>
      </x:c>
      <x:c r="S357" s="8" t="n"/>
      <x:c r="T357">
        <x:f>IF(AND(G357&lt;&gt;"",S357&lt;&gt;""),ROUNDUP(G357*S357,0),"")</x:f>
      </x:c>
      <x:c r="X357">
        <x:f>IF(OR(V357&lt;&gt;"",W357&lt;&gt;""),V357+W357,"")</x:f>
      </x:c>
      <x:c r="Y357" s="9">
        <x:f>IF(AND(X357&lt;&gt;"",T357&lt;&gt;""),X357/T357,"")</x:f>
      </x:c>
    </x:row>
    <x:row r="358">
      <x:c r="L358" s="7" t="n"/>
      <x:c r="M358" s="7" t="n"/>
      <x:c r="N358" s="7" t="n"/>
      <x:c r="O358">
        <x:f>IF(AND(N358&lt;&gt;"",L358&lt;&gt;""),N358-L358,"")</x:f>
      </x:c>
      <x:c r="P358">
        <x:f>IF(AND(N358&lt;&gt;"",M358&lt;&gt;""),IF(N358&lt;=M358,"Yes","No"),"")</x:f>
      </x:c>
      <x:c r="S358" s="8" t="n"/>
      <x:c r="T358">
        <x:f>IF(AND(G358&lt;&gt;"",S358&lt;&gt;""),ROUNDUP(G358*S358,0),"")</x:f>
      </x:c>
      <x:c r="X358">
        <x:f>IF(OR(V358&lt;&gt;"",W358&lt;&gt;""),V358+W358,"")</x:f>
      </x:c>
      <x:c r="Y358" s="9">
        <x:f>IF(AND(X358&lt;&gt;"",T358&lt;&gt;""),X358/T358,"")</x:f>
      </x:c>
    </x:row>
    <x:row r="359">
      <x:c r="L359" s="7" t="n"/>
      <x:c r="M359" s="7" t="n"/>
      <x:c r="N359" s="7" t="n"/>
      <x:c r="O359">
        <x:f>IF(AND(N359&lt;&gt;"",L359&lt;&gt;""),N359-L359,"")</x:f>
      </x:c>
      <x:c r="P359">
        <x:f>IF(AND(N359&lt;&gt;"",M359&lt;&gt;""),IF(N359&lt;=M359,"Yes","No"),"")</x:f>
      </x:c>
      <x:c r="S359" s="8" t="n"/>
      <x:c r="T359">
        <x:f>IF(AND(G359&lt;&gt;"",S359&lt;&gt;""),ROUNDUP(G359*S359,0),"")</x:f>
      </x:c>
      <x:c r="X359">
        <x:f>IF(OR(V359&lt;&gt;"",W359&lt;&gt;""),V359+W359,"")</x:f>
      </x:c>
      <x:c r="Y359" s="9">
        <x:f>IF(AND(X359&lt;&gt;"",T359&lt;&gt;""),X359/T359,"")</x:f>
      </x:c>
    </x:row>
    <x:row r="360">
      <x:c r="L360" s="7" t="n"/>
      <x:c r="M360" s="7" t="n"/>
      <x:c r="N360" s="7" t="n"/>
      <x:c r="O360">
        <x:f>IF(AND(N360&lt;&gt;"",L360&lt;&gt;""),N360-L360,"")</x:f>
      </x:c>
      <x:c r="P360">
        <x:f>IF(AND(N360&lt;&gt;"",M360&lt;&gt;""),IF(N360&lt;=M360,"Yes","No"),"")</x:f>
      </x:c>
      <x:c r="S360" s="8" t="n"/>
      <x:c r="T360">
        <x:f>IF(AND(G360&lt;&gt;"",S360&lt;&gt;""),ROUNDUP(G360*S360,0),"")</x:f>
      </x:c>
      <x:c r="X360">
        <x:f>IF(OR(V360&lt;&gt;"",W360&lt;&gt;""),V360+W360,"")</x:f>
      </x:c>
      <x:c r="Y360" s="9">
        <x:f>IF(AND(X360&lt;&gt;"",T360&lt;&gt;""),X360/T360,"")</x:f>
      </x:c>
    </x:row>
    <x:row r="361">
      <x:c r="L361" s="7" t="n"/>
      <x:c r="M361" s="7" t="n"/>
      <x:c r="N361" s="7" t="n"/>
      <x:c r="O361">
        <x:f>IF(AND(N361&lt;&gt;"",L361&lt;&gt;""),N361-L361,"")</x:f>
      </x:c>
      <x:c r="P361">
        <x:f>IF(AND(N361&lt;&gt;"",M361&lt;&gt;""),IF(N361&lt;=M361,"Yes","No"),"")</x:f>
      </x:c>
      <x:c r="S361" s="8" t="n"/>
      <x:c r="T361">
        <x:f>IF(AND(G361&lt;&gt;"",S361&lt;&gt;""),ROUNDUP(G361*S361,0),"")</x:f>
      </x:c>
      <x:c r="X361">
        <x:f>IF(OR(V361&lt;&gt;"",W361&lt;&gt;""),V361+W361,"")</x:f>
      </x:c>
      <x:c r="Y361" s="9">
        <x:f>IF(AND(X361&lt;&gt;"",T361&lt;&gt;""),X361/T361,"")</x:f>
      </x:c>
    </x:row>
    <x:row r="362">
      <x:c r="L362" s="7" t="n"/>
      <x:c r="M362" s="7" t="n"/>
      <x:c r="N362" s="7" t="n"/>
      <x:c r="O362">
        <x:f>IF(AND(N362&lt;&gt;"",L362&lt;&gt;""),N362-L362,"")</x:f>
      </x:c>
      <x:c r="P362">
        <x:f>IF(AND(N362&lt;&gt;"",M362&lt;&gt;""),IF(N362&lt;=M362,"Yes","No"),"")</x:f>
      </x:c>
      <x:c r="S362" s="8" t="n"/>
      <x:c r="T362">
        <x:f>IF(AND(G362&lt;&gt;"",S362&lt;&gt;""),ROUNDUP(G362*S362,0),"")</x:f>
      </x:c>
      <x:c r="X362">
        <x:f>IF(OR(V362&lt;&gt;"",W362&lt;&gt;""),V362+W362,"")</x:f>
      </x:c>
      <x:c r="Y362" s="9">
        <x:f>IF(AND(X362&lt;&gt;"",T362&lt;&gt;""),X362/T362,"")</x:f>
      </x:c>
    </x:row>
    <x:row r="363">
      <x:c r="L363" s="7" t="n"/>
      <x:c r="M363" s="7" t="n"/>
      <x:c r="N363" s="7" t="n"/>
      <x:c r="O363">
        <x:f>IF(AND(N363&lt;&gt;"",L363&lt;&gt;""),N363-L363,"")</x:f>
      </x:c>
      <x:c r="P363">
        <x:f>IF(AND(N363&lt;&gt;"",M363&lt;&gt;""),IF(N363&lt;=M363,"Yes","No"),"")</x:f>
      </x:c>
      <x:c r="S363" s="8" t="n"/>
      <x:c r="T363">
        <x:f>IF(AND(G363&lt;&gt;"",S363&lt;&gt;""),ROUNDUP(G363*S363,0),"")</x:f>
      </x:c>
      <x:c r="X363">
        <x:f>IF(OR(V363&lt;&gt;"",W363&lt;&gt;""),V363+W363,"")</x:f>
      </x:c>
      <x:c r="Y363" s="9">
        <x:f>IF(AND(X363&lt;&gt;"",T363&lt;&gt;""),X363/T363,"")</x:f>
      </x:c>
    </x:row>
    <x:row r="364">
      <x:c r="L364" s="7" t="n"/>
      <x:c r="M364" s="7" t="n"/>
      <x:c r="N364" s="7" t="n"/>
      <x:c r="O364">
        <x:f>IF(AND(N364&lt;&gt;"",L364&lt;&gt;""),N364-L364,"")</x:f>
      </x:c>
      <x:c r="P364">
        <x:f>IF(AND(N364&lt;&gt;"",M364&lt;&gt;""),IF(N364&lt;=M364,"Yes","No"),"")</x:f>
      </x:c>
      <x:c r="S364" s="8" t="n"/>
      <x:c r="T364">
        <x:f>IF(AND(G364&lt;&gt;"",S364&lt;&gt;""),ROUNDUP(G364*S364,0),"")</x:f>
      </x:c>
      <x:c r="X364">
        <x:f>IF(OR(V364&lt;&gt;"",W364&lt;&gt;""),V364+W364,"")</x:f>
      </x:c>
      <x:c r="Y364" s="9">
        <x:f>IF(AND(X364&lt;&gt;"",T364&lt;&gt;""),X364/T364,"")</x:f>
      </x:c>
    </x:row>
    <x:row r="365">
      <x:c r="L365" s="7" t="n"/>
      <x:c r="M365" s="7" t="n"/>
      <x:c r="N365" s="7" t="n"/>
      <x:c r="O365">
        <x:f>IF(AND(N365&lt;&gt;"",L365&lt;&gt;""),N365-L365,"")</x:f>
      </x:c>
      <x:c r="P365">
        <x:f>IF(AND(N365&lt;&gt;"",M365&lt;&gt;""),IF(N365&lt;=M365,"Yes","No"),"")</x:f>
      </x:c>
      <x:c r="S365" s="8" t="n"/>
      <x:c r="T365">
        <x:f>IF(AND(G365&lt;&gt;"",S365&lt;&gt;""),ROUNDUP(G365*S365,0),"")</x:f>
      </x:c>
      <x:c r="X365">
        <x:f>IF(OR(V365&lt;&gt;"",W365&lt;&gt;""),V365+W365,"")</x:f>
      </x:c>
      <x:c r="Y365" s="9">
        <x:f>IF(AND(X365&lt;&gt;"",T365&lt;&gt;""),X365/T365,"")</x:f>
      </x:c>
    </x:row>
    <x:row r="366">
      <x:c r="L366" s="7" t="n"/>
      <x:c r="M366" s="7" t="n"/>
      <x:c r="N366" s="7" t="n"/>
      <x:c r="O366">
        <x:f>IF(AND(N366&lt;&gt;"",L366&lt;&gt;""),N366-L366,"")</x:f>
      </x:c>
      <x:c r="P366">
        <x:f>IF(AND(N366&lt;&gt;"",M366&lt;&gt;""),IF(N366&lt;=M366,"Yes","No"),"")</x:f>
      </x:c>
      <x:c r="S366" s="8" t="n"/>
      <x:c r="T366">
        <x:f>IF(AND(G366&lt;&gt;"",S366&lt;&gt;""),ROUNDUP(G366*S366,0),"")</x:f>
      </x:c>
      <x:c r="X366">
        <x:f>IF(OR(V366&lt;&gt;"",W366&lt;&gt;""),V366+W366,"")</x:f>
      </x:c>
      <x:c r="Y366" s="9">
        <x:f>IF(AND(X366&lt;&gt;"",T366&lt;&gt;""),X366/T366,"")</x:f>
      </x:c>
    </x:row>
    <x:row r="367">
      <x:c r="L367" s="7" t="n"/>
      <x:c r="M367" s="7" t="n"/>
      <x:c r="N367" s="7" t="n"/>
      <x:c r="O367">
        <x:f>IF(AND(N367&lt;&gt;"",L367&lt;&gt;""),N367-L367,"")</x:f>
      </x:c>
      <x:c r="P367">
        <x:f>IF(AND(N367&lt;&gt;"",M367&lt;&gt;""),IF(N367&lt;=M367,"Yes","No"),"")</x:f>
      </x:c>
      <x:c r="S367" s="8" t="n"/>
      <x:c r="T367">
        <x:f>IF(AND(G367&lt;&gt;"",S367&lt;&gt;""),ROUNDUP(G367*S367,0),"")</x:f>
      </x:c>
      <x:c r="X367">
        <x:f>IF(OR(V367&lt;&gt;"",W367&lt;&gt;""),V367+W367,"")</x:f>
      </x:c>
      <x:c r="Y367" s="9">
        <x:f>IF(AND(X367&lt;&gt;"",T367&lt;&gt;""),X367/T367,"")</x:f>
      </x:c>
    </x:row>
    <x:row r="368">
      <x:c r="L368" s="7" t="n"/>
      <x:c r="M368" s="7" t="n"/>
      <x:c r="N368" s="7" t="n"/>
      <x:c r="O368">
        <x:f>IF(AND(N368&lt;&gt;"",L368&lt;&gt;""),N368-L368,"")</x:f>
      </x:c>
      <x:c r="P368">
        <x:f>IF(AND(N368&lt;&gt;"",M368&lt;&gt;""),IF(N368&lt;=M368,"Yes","No"),"")</x:f>
      </x:c>
      <x:c r="S368" s="8" t="n"/>
      <x:c r="T368">
        <x:f>IF(AND(G368&lt;&gt;"",S368&lt;&gt;""),ROUNDUP(G368*S368,0),"")</x:f>
      </x:c>
      <x:c r="X368">
        <x:f>IF(OR(V368&lt;&gt;"",W368&lt;&gt;""),V368+W368,"")</x:f>
      </x:c>
      <x:c r="Y368" s="9">
        <x:f>IF(AND(X368&lt;&gt;"",T368&lt;&gt;""),X368/T368,"")</x:f>
      </x:c>
    </x:row>
    <x:row r="369">
      <x:c r="L369" s="7" t="n"/>
      <x:c r="M369" s="7" t="n"/>
      <x:c r="N369" s="7" t="n"/>
      <x:c r="O369">
        <x:f>IF(AND(N369&lt;&gt;"",L369&lt;&gt;""),N369-L369,"")</x:f>
      </x:c>
      <x:c r="P369">
        <x:f>IF(AND(N369&lt;&gt;"",M369&lt;&gt;""),IF(N369&lt;=M369,"Yes","No"),"")</x:f>
      </x:c>
      <x:c r="S369" s="8" t="n"/>
      <x:c r="T369">
        <x:f>IF(AND(G369&lt;&gt;"",S369&lt;&gt;""),ROUNDUP(G369*S369,0),"")</x:f>
      </x:c>
      <x:c r="X369">
        <x:f>IF(OR(V369&lt;&gt;"",W369&lt;&gt;""),V369+W369,"")</x:f>
      </x:c>
      <x:c r="Y369" s="9">
        <x:f>IF(AND(X369&lt;&gt;"",T369&lt;&gt;""),X369/T369,"")</x:f>
      </x:c>
    </x:row>
    <x:row r="370">
      <x:c r="L370" s="7" t="n"/>
      <x:c r="M370" s="7" t="n"/>
      <x:c r="N370" s="7" t="n"/>
      <x:c r="O370">
        <x:f>IF(AND(N370&lt;&gt;"",L370&lt;&gt;""),N370-L370,"")</x:f>
      </x:c>
      <x:c r="P370">
        <x:f>IF(AND(N370&lt;&gt;"",M370&lt;&gt;""),IF(N370&lt;=M370,"Yes","No"),"")</x:f>
      </x:c>
      <x:c r="S370" s="8" t="n"/>
      <x:c r="T370">
        <x:f>IF(AND(G370&lt;&gt;"",S370&lt;&gt;""),ROUNDUP(G370*S370,0),"")</x:f>
      </x:c>
      <x:c r="X370">
        <x:f>IF(OR(V370&lt;&gt;"",W370&lt;&gt;""),V370+W370,"")</x:f>
      </x:c>
      <x:c r="Y370" s="9">
        <x:f>IF(AND(X370&lt;&gt;"",T370&lt;&gt;""),X370/T370,"")</x:f>
      </x:c>
    </x:row>
    <x:row r="371">
      <x:c r="L371" s="7" t="n"/>
      <x:c r="M371" s="7" t="n"/>
      <x:c r="N371" s="7" t="n"/>
      <x:c r="O371">
        <x:f>IF(AND(N371&lt;&gt;"",L371&lt;&gt;""),N371-L371,"")</x:f>
      </x:c>
      <x:c r="P371">
        <x:f>IF(AND(N371&lt;&gt;"",M371&lt;&gt;""),IF(N371&lt;=M371,"Yes","No"),"")</x:f>
      </x:c>
      <x:c r="S371" s="8" t="n"/>
      <x:c r="T371">
        <x:f>IF(AND(G371&lt;&gt;"",S371&lt;&gt;""),ROUNDUP(G371*S371,0),"")</x:f>
      </x:c>
      <x:c r="X371">
        <x:f>IF(OR(V371&lt;&gt;"",W371&lt;&gt;""),V371+W371,"")</x:f>
      </x:c>
      <x:c r="Y371" s="9">
        <x:f>IF(AND(X371&lt;&gt;"",T371&lt;&gt;""),X371/T371,"")</x:f>
      </x:c>
    </x:row>
    <x:row r="372">
      <x:c r="L372" s="7" t="n"/>
      <x:c r="M372" s="7" t="n"/>
      <x:c r="N372" s="7" t="n"/>
      <x:c r="O372">
        <x:f>IF(AND(N372&lt;&gt;"",L372&lt;&gt;""),N372-L372,"")</x:f>
      </x:c>
      <x:c r="P372">
        <x:f>IF(AND(N372&lt;&gt;"",M372&lt;&gt;""),IF(N372&lt;=M372,"Yes","No"),"")</x:f>
      </x:c>
      <x:c r="S372" s="8" t="n"/>
      <x:c r="T372">
        <x:f>IF(AND(G372&lt;&gt;"",S372&lt;&gt;""),ROUNDUP(G372*S372,0),"")</x:f>
      </x:c>
      <x:c r="X372">
        <x:f>IF(OR(V372&lt;&gt;"",W372&lt;&gt;""),V372+W372,"")</x:f>
      </x:c>
      <x:c r="Y372" s="9">
        <x:f>IF(AND(X372&lt;&gt;"",T372&lt;&gt;""),X372/T372,"")</x:f>
      </x:c>
    </x:row>
    <x:row r="373">
      <x:c r="L373" s="7" t="n"/>
      <x:c r="M373" s="7" t="n"/>
      <x:c r="N373" s="7" t="n"/>
      <x:c r="O373">
        <x:f>IF(AND(N373&lt;&gt;"",L373&lt;&gt;""),N373-L373,"")</x:f>
      </x:c>
      <x:c r="P373">
        <x:f>IF(AND(N373&lt;&gt;"",M373&lt;&gt;""),IF(N373&lt;=M373,"Yes","No"),"")</x:f>
      </x:c>
      <x:c r="S373" s="8" t="n"/>
      <x:c r="T373">
        <x:f>IF(AND(G373&lt;&gt;"",S373&lt;&gt;""),ROUNDUP(G373*S373,0),"")</x:f>
      </x:c>
      <x:c r="X373">
        <x:f>IF(OR(V373&lt;&gt;"",W373&lt;&gt;""),V373+W373,"")</x:f>
      </x:c>
      <x:c r="Y373" s="9">
        <x:f>IF(AND(X373&lt;&gt;"",T373&lt;&gt;""),X373/T373,"")</x:f>
      </x:c>
    </x:row>
    <x:row r="374">
      <x:c r="L374" s="7" t="n"/>
      <x:c r="M374" s="7" t="n"/>
      <x:c r="N374" s="7" t="n"/>
      <x:c r="O374">
        <x:f>IF(AND(N374&lt;&gt;"",L374&lt;&gt;""),N374-L374,"")</x:f>
      </x:c>
      <x:c r="P374">
        <x:f>IF(AND(N374&lt;&gt;"",M374&lt;&gt;""),IF(N374&lt;=M374,"Yes","No"),"")</x:f>
      </x:c>
      <x:c r="S374" s="8" t="n"/>
      <x:c r="T374">
        <x:f>IF(AND(G374&lt;&gt;"",S374&lt;&gt;""),ROUNDUP(G374*S374,0),"")</x:f>
      </x:c>
      <x:c r="X374">
        <x:f>IF(OR(V374&lt;&gt;"",W374&lt;&gt;""),V374+W374,"")</x:f>
      </x:c>
      <x:c r="Y374" s="9">
        <x:f>IF(AND(X374&lt;&gt;"",T374&lt;&gt;""),X374/T374,"")</x:f>
      </x:c>
    </x:row>
    <x:row r="375">
      <x:c r="L375" s="7" t="n"/>
      <x:c r="M375" s="7" t="n"/>
      <x:c r="N375" s="7" t="n"/>
      <x:c r="O375">
        <x:f>IF(AND(N375&lt;&gt;"",L375&lt;&gt;""),N375-L375,"")</x:f>
      </x:c>
      <x:c r="P375">
        <x:f>IF(AND(N375&lt;&gt;"",M375&lt;&gt;""),IF(N375&lt;=M375,"Yes","No"),"")</x:f>
      </x:c>
      <x:c r="S375" s="8" t="n"/>
      <x:c r="T375">
        <x:f>IF(AND(G375&lt;&gt;"",S375&lt;&gt;""),ROUNDUP(G375*S375,0),"")</x:f>
      </x:c>
      <x:c r="X375">
        <x:f>IF(OR(V375&lt;&gt;"",W375&lt;&gt;""),V375+W375,"")</x:f>
      </x:c>
      <x:c r="Y375" s="9">
        <x:f>IF(AND(X375&lt;&gt;"",T375&lt;&gt;""),X375/T375,"")</x:f>
      </x:c>
    </x:row>
    <x:row r="376">
      <x:c r="L376" s="7" t="n"/>
      <x:c r="M376" s="7" t="n"/>
      <x:c r="N376" s="7" t="n"/>
      <x:c r="O376">
        <x:f>IF(AND(N376&lt;&gt;"",L376&lt;&gt;""),N376-L376,"")</x:f>
      </x:c>
      <x:c r="P376">
        <x:f>IF(AND(N376&lt;&gt;"",M376&lt;&gt;""),IF(N376&lt;=M376,"Yes","No"),"")</x:f>
      </x:c>
      <x:c r="S376" s="8" t="n"/>
      <x:c r="T376">
        <x:f>IF(AND(G376&lt;&gt;"",S376&lt;&gt;""),ROUNDUP(G376*S376,0),"")</x:f>
      </x:c>
      <x:c r="X376">
        <x:f>IF(OR(V376&lt;&gt;"",W376&lt;&gt;""),V376+W376,"")</x:f>
      </x:c>
      <x:c r="Y376" s="9">
        <x:f>IF(AND(X376&lt;&gt;"",T376&lt;&gt;""),X376/T376,"")</x:f>
      </x:c>
    </x:row>
    <x:row r="377">
      <x:c r="L377" s="7" t="n"/>
      <x:c r="M377" s="7" t="n"/>
      <x:c r="N377" s="7" t="n"/>
      <x:c r="O377">
        <x:f>IF(AND(N377&lt;&gt;"",L377&lt;&gt;""),N377-L377,"")</x:f>
      </x:c>
      <x:c r="P377">
        <x:f>IF(AND(N377&lt;&gt;"",M377&lt;&gt;""),IF(N377&lt;=M377,"Yes","No"),"")</x:f>
      </x:c>
      <x:c r="S377" s="8" t="n"/>
      <x:c r="T377">
        <x:f>IF(AND(G377&lt;&gt;"",S377&lt;&gt;""),ROUNDUP(G377*S377,0),"")</x:f>
      </x:c>
      <x:c r="X377">
        <x:f>IF(OR(V377&lt;&gt;"",W377&lt;&gt;""),V377+W377,"")</x:f>
      </x:c>
      <x:c r="Y377" s="9">
        <x:f>IF(AND(X377&lt;&gt;"",T377&lt;&gt;""),X377/T377,"")</x:f>
      </x:c>
    </x:row>
    <x:row r="378">
      <x:c r="L378" s="7" t="n"/>
      <x:c r="M378" s="7" t="n"/>
      <x:c r="N378" s="7" t="n"/>
      <x:c r="O378">
        <x:f>IF(AND(N378&lt;&gt;"",L378&lt;&gt;""),N378-L378,"")</x:f>
      </x:c>
      <x:c r="P378">
        <x:f>IF(AND(N378&lt;&gt;"",M378&lt;&gt;""),IF(N378&lt;=M378,"Yes","No"),"")</x:f>
      </x:c>
      <x:c r="S378" s="8" t="n"/>
      <x:c r="T378">
        <x:f>IF(AND(G378&lt;&gt;"",S378&lt;&gt;""),ROUNDUP(G378*S378,0),"")</x:f>
      </x:c>
      <x:c r="X378">
        <x:f>IF(OR(V378&lt;&gt;"",W378&lt;&gt;""),V378+W378,"")</x:f>
      </x:c>
      <x:c r="Y378" s="9">
        <x:f>IF(AND(X378&lt;&gt;"",T378&lt;&gt;""),X378/T378,"")</x:f>
      </x:c>
    </x:row>
    <x:row r="379">
      <x:c r="L379" s="7" t="n"/>
      <x:c r="M379" s="7" t="n"/>
      <x:c r="N379" s="7" t="n"/>
      <x:c r="O379">
        <x:f>IF(AND(N379&lt;&gt;"",L379&lt;&gt;""),N379-L379,"")</x:f>
      </x:c>
      <x:c r="P379">
        <x:f>IF(AND(N379&lt;&gt;"",M379&lt;&gt;""),IF(N379&lt;=M379,"Yes","No"),"")</x:f>
      </x:c>
      <x:c r="S379" s="8" t="n"/>
      <x:c r="T379">
        <x:f>IF(AND(G379&lt;&gt;"",S379&lt;&gt;""),ROUNDUP(G379*S379,0),"")</x:f>
      </x:c>
      <x:c r="X379">
        <x:f>IF(OR(V379&lt;&gt;"",W379&lt;&gt;""),V379+W379,"")</x:f>
      </x:c>
      <x:c r="Y379" s="9">
        <x:f>IF(AND(X379&lt;&gt;"",T379&lt;&gt;""),X379/T379,"")</x:f>
      </x:c>
    </x:row>
    <x:row r="380">
      <x:c r="L380" s="7" t="n"/>
      <x:c r="M380" s="7" t="n"/>
      <x:c r="N380" s="7" t="n"/>
      <x:c r="O380">
        <x:f>IF(AND(N380&lt;&gt;"",L380&lt;&gt;""),N380-L380,"")</x:f>
      </x:c>
      <x:c r="P380">
        <x:f>IF(AND(N380&lt;&gt;"",M380&lt;&gt;""),IF(N380&lt;=M380,"Yes","No"),"")</x:f>
      </x:c>
      <x:c r="S380" s="8" t="n"/>
      <x:c r="T380">
        <x:f>IF(AND(G380&lt;&gt;"",S380&lt;&gt;""),ROUNDUP(G380*S380,0),"")</x:f>
      </x:c>
      <x:c r="X380">
        <x:f>IF(OR(V380&lt;&gt;"",W380&lt;&gt;""),V380+W380,"")</x:f>
      </x:c>
      <x:c r="Y380" s="9">
        <x:f>IF(AND(X380&lt;&gt;"",T380&lt;&gt;""),X380/T380,"")</x:f>
      </x:c>
    </x:row>
    <x:row r="381">
      <x:c r="L381" s="7" t="n"/>
      <x:c r="M381" s="7" t="n"/>
      <x:c r="N381" s="7" t="n"/>
      <x:c r="O381">
        <x:f>IF(AND(N381&lt;&gt;"",L381&lt;&gt;""),N381-L381,"")</x:f>
      </x:c>
      <x:c r="P381">
        <x:f>IF(AND(N381&lt;&gt;"",M381&lt;&gt;""),IF(N381&lt;=M381,"Yes","No"),"")</x:f>
      </x:c>
      <x:c r="S381" s="8" t="n"/>
      <x:c r="T381">
        <x:f>IF(AND(G381&lt;&gt;"",S381&lt;&gt;""),ROUNDUP(G381*S381,0),"")</x:f>
      </x:c>
      <x:c r="X381">
        <x:f>IF(OR(V381&lt;&gt;"",W381&lt;&gt;""),V381+W381,"")</x:f>
      </x:c>
      <x:c r="Y381" s="9">
        <x:f>IF(AND(X381&lt;&gt;"",T381&lt;&gt;""),X381/T381,"")</x:f>
      </x:c>
    </x:row>
    <x:row r="382">
      <x:c r="L382" s="7" t="n"/>
      <x:c r="M382" s="7" t="n"/>
      <x:c r="N382" s="7" t="n"/>
      <x:c r="O382">
        <x:f>IF(AND(N382&lt;&gt;"",L382&lt;&gt;""),N382-L382,"")</x:f>
      </x:c>
      <x:c r="P382">
        <x:f>IF(AND(N382&lt;&gt;"",M382&lt;&gt;""),IF(N382&lt;=M382,"Yes","No"),"")</x:f>
      </x:c>
      <x:c r="S382" s="8" t="n"/>
      <x:c r="T382">
        <x:f>IF(AND(G382&lt;&gt;"",S382&lt;&gt;""),ROUNDUP(G382*S382,0),"")</x:f>
      </x:c>
      <x:c r="X382">
        <x:f>IF(OR(V382&lt;&gt;"",W382&lt;&gt;""),V382+W382,"")</x:f>
      </x:c>
      <x:c r="Y382" s="9">
        <x:f>IF(AND(X382&lt;&gt;"",T382&lt;&gt;""),X382/T382,"")</x:f>
      </x:c>
    </x:row>
    <x:row r="383">
      <x:c r="L383" s="7" t="n"/>
      <x:c r="M383" s="7" t="n"/>
      <x:c r="N383" s="7" t="n"/>
      <x:c r="O383">
        <x:f>IF(AND(N383&lt;&gt;"",L383&lt;&gt;""),N383-L383,"")</x:f>
      </x:c>
      <x:c r="P383">
        <x:f>IF(AND(N383&lt;&gt;"",M383&lt;&gt;""),IF(N383&lt;=M383,"Yes","No"),"")</x:f>
      </x:c>
      <x:c r="S383" s="8" t="n"/>
      <x:c r="T383">
        <x:f>IF(AND(G383&lt;&gt;"",S383&lt;&gt;""),ROUNDUP(G383*S383,0),"")</x:f>
      </x:c>
      <x:c r="X383">
        <x:f>IF(OR(V383&lt;&gt;"",W383&lt;&gt;""),V383+W383,"")</x:f>
      </x:c>
      <x:c r="Y383" s="9">
        <x:f>IF(AND(X383&lt;&gt;"",T383&lt;&gt;""),X383/T383,"")</x:f>
      </x:c>
    </x:row>
    <x:row r="384">
      <x:c r="L384" s="7" t="n"/>
      <x:c r="M384" s="7" t="n"/>
      <x:c r="N384" s="7" t="n"/>
      <x:c r="O384">
        <x:f>IF(AND(N384&lt;&gt;"",L384&lt;&gt;""),N384-L384,"")</x:f>
      </x:c>
      <x:c r="P384">
        <x:f>IF(AND(N384&lt;&gt;"",M384&lt;&gt;""),IF(N384&lt;=M384,"Yes","No"),"")</x:f>
      </x:c>
      <x:c r="S384" s="8" t="n"/>
      <x:c r="T384">
        <x:f>IF(AND(G384&lt;&gt;"",S384&lt;&gt;""),ROUNDUP(G384*S384,0),"")</x:f>
      </x:c>
      <x:c r="X384">
        <x:f>IF(OR(V384&lt;&gt;"",W384&lt;&gt;""),V384+W384,"")</x:f>
      </x:c>
      <x:c r="Y384" s="9">
        <x:f>IF(AND(X384&lt;&gt;"",T384&lt;&gt;""),X384/T384,"")</x:f>
      </x:c>
    </x:row>
    <x:row r="385">
      <x:c r="L385" s="7" t="n"/>
      <x:c r="M385" s="7" t="n"/>
      <x:c r="N385" s="7" t="n"/>
      <x:c r="O385">
        <x:f>IF(AND(N385&lt;&gt;"",L385&lt;&gt;""),N385-L385,"")</x:f>
      </x:c>
      <x:c r="P385">
        <x:f>IF(AND(N385&lt;&gt;"",M385&lt;&gt;""),IF(N385&lt;=M385,"Yes","No"),"")</x:f>
      </x:c>
      <x:c r="S385" s="8" t="n"/>
      <x:c r="T385">
        <x:f>IF(AND(G385&lt;&gt;"",S385&lt;&gt;""),ROUNDUP(G385*S385,0),"")</x:f>
      </x:c>
      <x:c r="X385">
        <x:f>IF(OR(V385&lt;&gt;"",W385&lt;&gt;""),V385+W385,"")</x:f>
      </x:c>
      <x:c r="Y385" s="9">
        <x:f>IF(AND(X385&lt;&gt;"",T385&lt;&gt;""),X385/T385,"")</x:f>
      </x:c>
    </x:row>
    <x:row r="386">
      <x:c r="L386" s="7" t="n"/>
      <x:c r="M386" s="7" t="n"/>
      <x:c r="N386" s="7" t="n"/>
      <x:c r="O386">
        <x:f>IF(AND(N386&lt;&gt;"",L386&lt;&gt;""),N386-L386,"")</x:f>
      </x:c>
      <x:c r="P386">
        <x:f>IF(AND(N386&lt;&gt;"",M386&lt;&gt;""),IF(N386&lt;=M386,"Yes","No"),"")</x:f>
      </x:c>
      <x:c r="S386" s="8" t="n"/>
      <x:c r="T386">
        <x:f>IF(AND(G386&lt;&gt;"",S386&lt;&gt;""),ROUNDUP(G386*S386,0),"")</x:f>
      </x:c>
      <x:c r="X386">
        <x:f>IF(OR(V386&lt;&gt;"",W386&lt;&gt;""),V386+W386,"")</x:f>
      </x:c>
      <x:c r="Y386" s="9">
        <x:f>IF(AND(X386&lt;&gt;"",T386&lt;&gt;""),X386/T386,"")</x:f>
      </x:c>
    </x:row>
    <x:row r="387">
      <x:c r="L387" s="7" t="n"/>
      <x:c r="M387" s="7" t="n"/>
      <x:c r="N387" s="7" t="n"/>
      <x:c r="O387">
        <x:f>IF(AND(N387&lt;&gt;"",L387&lt;&gt;""),N387-L387,"")</x:f>
      </x:c>
      <x:c r="P387">
        <x:f>IF(AND(N387&lt;&gt;"",M387&lt;&gt;""),IF(N387&lt;=M387,"Yes","No"),"")</x:f>
      </x:c>
      <x:c r="S387" s="8" t="n"/>
      <x:c r="T387">
        <x:f>IF(AND(G387&lt;&gt;"",S387&lt;&gt;""),ROUNDUP(G387*S387,0),"")</x:f>
      </x:c>
      <x:c r="X387">
        <x:f>IF(OR(V387&lt;&gt;"",W387&lt;&gt;""),V387+W387,"")</x:f>
      </x:c>
      <x:c r="Y387" s="9">
        <x:f>IF(AND(X387&lt;&gt;"",T387&lt;&gt;""),X387/T387,"")</x:f>
      </x:c>
    </x:row>
    <x:row r="388">
      <x:c r="L388" s="7" t="n"/>
      <x:c r="M388" s="7" t="n"/>
      <x:c r="N388" s="7" t="n"/>
      <x:c r="O388">
        <x:f>IF(AND(N388&lt;&gt;"",L388&lt;&gt;""),N388-L388,"")</x:f>
      </x:c>
      <x:c r="P388">
        <x:f>IF(AND(N388&lt;&gt;"",M388&lt;&gt;""),IF(N388&lt;=M388,"Yes","No"),"")</x:f>
      </x:c>
      <x:c r="S388" s="8" t="n"/>
      <x:c r="T388">
        <x:f>IF(AND(G388&lt;&gt;"",S388&lt;&gt;""),ROUNDUP(G388*S388,0),"")</x:f>
      </x:c>
      <x:c r="X388">
        <x:f>IF(OR(V388&lt;&gt;"",W388&lt;&gt;""),V388+W388,"")</x:f>
      </x:c>
      <x:c r="Y388" s="9">
        <x:f>IF(AND(X388&lt;&gt;"",T388&lt;&gt;""),X388/T388,"")</x:f>
      </x:c>
    </x:row>
    <x:row r="389">
      <x:c r="L389" s="7" t="n"/>
      <x:c r="M389" s="7" t="n"/>
      <x:c r="N389" s="7" t="n"/>
      <x:c r="O389">
        <x:f>IF(AND(N389&lt;&gt;"",L389&lt;&gt;""),N389-L389,"")</x:f>
      </x:c>
      <x:c r="P389">
        <x:f>IF(AND(N389&lt;&gt;"",M389&lt;&gt;""),IF(N389&lt;=M389,"Yes","No"),"")</x:f>
      </x:c>
      <x:c r="S389" s="8" t="n"/>
      <x:c r="T389">
        <x:f>IF(AND(G389&lt;&gt;"",S389&lt;&gt;""),ROUNDUP(G389*S389,0),"")</x:f>
      </x:c>
      <x:c r="X389">
        <x:f>IF(OR(V389&lt;&gt;"",W389&lt;&gt;""),V389+W389,"")</x:f>
      </x:c>
      <x:c r="Y389" s="9">
        <x:f>IF(AND(X389&lt;&gt;"",T389&lt;&gt;""),X389/T389,"")</x:f>
      </x:c>
    </x:row>
    <x:row r="390">
      <x:c r="L390" s="7" t="n"/>
      <x:c r="M390" s="7" t="n"/>
      <x:c r="N390" s="7" t="n"/>
      <x:c r="O390">
        <x:f>IF(AND(N390&lt;&gt;"",L390&lt;&gt;""),N390-L390,"")</x:f>
      </x:c>
      <x:c r="P390">
        <x:f>IF(AND(N390&lt;&gt;"",M390&lt;&gt;""),IF(N390&lt;=M390,"Yes","No"),"")</x:f>
      </x:c>
      <x:c r="S390" s="8" t="n"/>
      <x:c r="T390">
        <x:f>IF(AND(G390&lt;&gt;"",S390&lt;&gt;""),ROUNDUP(G390*S390,0),"")</x:f>
      </x:c>
      <x:c r="X390">
        <x:f>IF(OR(V390&lt;&gt;"",W390&lt;&gt;""),V390+W390,"")</x:f>
      </x:c>
      <x:c r="Y390" s="9">
        <x:f>IF(AND(X390&lt;&gt;"",T390&lt;&gt;""),X390/T390,"")</x:f>
      </x:c>
    </x:row>
    <x:row r="391">
      <x:c r="L391" s="7" t="n"/>
      <x:c r="M391" s="7" t="n"/>
      <x:c r="N391" s="7" t="n"/>
      <x:c r="O391">
        <x:f>IF(AND(N391&lt;&gt;"",L391&lt;&gt;""),N391-L391,"")</x:f>
      </x:c>
      <x:c r="P391">
        <x:f>IF(AND(N391&lt;&gt;"",M391&lt;&gt;""),IF(N391&lt;=M391,"Yes","No"),"")</x:f>
      </x:c>
      <x:c r="S391" s="8" t="n"/>
      <x:c r="T391">
        <x:f>IF(AND(G391&lt;&gt;"",S391&lt;&gt;""),ROUNDUP(G391*S391,0),"")</x:f>
      </x:c>
      <x:c r="X391">
        <x:f>IF(OR(V391&lt;&gt;"",W391&lt;&gt;""),V391+W391,"")</x:f>
      </x:c>
      <x:c r="Y391" s="9">
        <x:f>IF(AND(X391&lt;&gt;"",T391&lt;&gt;""),X391/T391,"")</x:f>
      </x:c>
    </x:row>
    <x:row r="392">
      <x:c r="L392" s="7" t="n"/>
      <x:c r="M392" s="7" t="n"/>
      <x:c r="N392" s="7" t="n"/>
      <x:c r="O392">
        <x:f>IF(AND(N392&lt;&gt;"",L392&lt;&gt;""),N392-L392,"")</x:f>
      </x:c>
      <x:c r="P392">
        <x:f>IF(AND(N392&lt;&gt;"",M392&lt;&gt;""),IF(N392&lt;=M392,"Yes","No"),"")</x:f>
      </x:c>
      <x:c r="S392" s="8" t="n"/>
      <x:c r="T392">
        <x:f>IF(AND(G392&lt;&gt;"",S392&lt;&gt;""),ROUNDUP(G392*S392,0),"")</x:f>
      </x:c>
      <x:c r="X392">
        <x:f>IF(OR(V392&lt;&gt;"",W392&lt;&gt;""),V392+W392,"")</x:f>
      </x:c>
      <x:c r="Y392" s="9">
        <x:f>IF(AND(X392&lt;&gt;"",T392&lt;&gt;""),X392/T392,"")</x:f>
      </x:c>
    </x:row>
    <x:row r="393">
      <x:c r="L393" s="7" t="n"/>
      <x:c r="M393" s="7" t="n"/>
      <x:c r="N393" s="7" t="n"/>
      <x:c r="O393">
        <x:f>IF(AND(N393&lt;&gt;"",L393&lt;&gt;""),N393-L393,"")</x:f>
      </x:c>
      <x:c r="P393">
        <x:f>IF(AND(N393&lt;&gt;"",M393&lt;&gt;""),IF(N393&lt;=M393,"Yes","No"),"")</x:f>
      </x:c>
      <x:c r="S393" s="8" t="n"/>
      <x:c r="T393">
        <x:f>IF(AND(G393&lt;&gt;"",S393&lt;&gt;""),ROUNDUP(G393*S393,0),"")</x:f>
      </x:c>
      <x:c r="X393">
        <x:f>IF(OR(V393&lt;&gt;"",W393&lt;&gt;""),V393+W393,"")</x:f>
      </x:c>
      <x:c r="Y393" s="9">
        <x:f>IF(AND(X393&lt;&gt;"",T393&lt;&gt;""),X393/T393,"")</x:f>
      </x:c>
    </x:row>
    <x:row r="394">
      <x:c r="L394" s="7" t="n"/>
      <x:c r="M394" s="7" t="n"/>
      <x:c r="N394" s="7" t="n"/>
      <x:c r="O394">
        <x:f>IF(AND(N394&lt;&gt;"",L394&lt;&gt;""),N394-L394,"")</x:f>
      </x:c>
      <x:c r="P394">
        <x:f>IF(AND(N394&lt;&gt;"",M394&lt;&gt;""),IF(N394&lt;=M394,"Yes","No"),"")</x:f>
      </x:c>
      <x:c r="S394" s="8" t="n"/>
      <x:c r="T394">
        <x:f>IF(AND(G394&lt;&gt;"",S394&lt;&gt;""),ROUNDUP(G394*S394,0),"")</x:f>
      </x:c>
      <x:c r="X394">
        <x:f>IF(OR(V394&lt;&gt;"",W394&lt;&gt;""),V394+W394,"")</x:f>
      </x:c>
      <x:c r="Y394" s="9">
        <x:f>IF(AND(X394&lt;&gt;"",T394&lt;&gt;""),X394/T394,"")</x:f>
      </x:c>
    </x:row>
    <x:row r="395">
      <x:c r="L395" s="7" t="n"/>
      <x:c r="M395" s="7" t="n"/>
      <x:c r="N395" s="7" t="n"/>
      <x:c r="O395">
        <x:f>IF(AND(N395&lt;&gt;"",L395&lt;&gt;""),N395-L395,"")</x:f>
      </x:c>
      <x:c r="P395">
        <x:f>IF(AND(N395&lt;&gt;"",M395&lt;&gt;""),IF(N395&lt;=M395,"Yes","No"),"")</x:f>
      </x:c>
      <x:c r="S395" s="8" t="n"/>
      <x:c r="T395">
        <x:f>IF(AND(G395&lt;&gt;"",S395&lt;&gt;""),ROUNDUP(G395*S395,0),"")</x:f>
      </x:c>
      <x:c r="X395">
        <x:f>IF(OR(V395&lt;&gt;"",W395&lt;&gt;""),V395+W395,"")</x:f>
      </x:c>
      <x:c r="Y395" s="9">
        <x:f>IF(AND(X395&lt;&gt;"",T395&lt;&gt;""),X395/T395,"")</x:f>
      </x:c>
    </x:row>
    <x:row r="396">
      <x:c r="L396" s="7" t="n"/>
      <x:c r="M396" s="7" t="n"/>
      <x:c r="N396" s="7" t="n"/>
      <x:c r="O396">
        <x:f>IF(AND(N396&lt;&gt;"",L396&lt;&gt;""),N396-L396,"")</x:f>
      </x:c>
      <x:c r="P396">
        <x:f>IF(AND(N396&lt;&gt;"",M396&lt;&gt;""),IF(N396&lt;=M396,"Yes","No"),"")</x:f>
      </x:c>
      <x:c r="S396" s="8" t="n"/>
      <x:c r="T396">
        <x:f>IF(AND(G396&lt;&gt;"",S396&lt;&gt;""),ROUNDUP(G396*S396,0),"")</x:f>
      </x:c>
      <x:c r="X396">
        <x:f>IF(OR(V396&lt;&gt;"",W396&lt;&gt;""),V396+W396,"")</x:f>
      </x:c>
      <x:c r="Y396" s="9">
        <x:f>IF(AND(X396&lt;&gt;"",T396&lt;&gt;""),X396/T396,"")</x:f>
      </x:c>
    </x:row>
    <x:row r="397">
      <x:c r="L397" s="7" t="n"/>
      <x:c r="M397" s="7" t="n"/>
      <x:c r="N397" s="7" t="n"/>
      <x:c r="O397">
        <x:f>IF(AND(N397&lt;&gt;"",L397&lt;&gt;""),N397-L397,"")</x:f>
      </x:c>
      <x:c r="P397">
        <x:f>IF(AND(N397&lt;&gt;"",M397&lt;&gt;""),IF(N397&lt;=M397,"Yes","No"),"")</x:f>
      </x:c>
      <x:c r="S397" s="8" t="n"/>
      <x:c r="T397">
        <x:f>IF(AND(G397&lt;&gt;"",S397&lt;&gt;""),ROUNDUP(G397*S397,0),"")</x:f>
      </x:c>
      <x:c r="X397">
        <x:f>IF(OR(V397&lt;&gt;"",W397&lt;&gt;""),V397+W397,"")</x:f>
      </x:c>
      <x:c r="Y397" s="9">
        <x:f>IF(AND(X397&lt;&gt;"",T397&lt;&gt;""),X397/T397,"")</x:f>
      </x:c>
    </x:row>
    <x:row r="398">
      <x:c r="L398" s="7" t="n"/>
      <x:c r="M398" s="7" t="n"/>
      <x:c r="N398" s="7" t="n"/>
      <x:c r="O398">
        <x:f>IF(AND(N398&lt;&gt;"",L398&lt;&gt;""),N398-L398,"")</x:f>
      </x:c>
      <x:c r="P398">
        <x:f>IF(AND(N398&lt;&gt;"",M398&lt;&gt;""),IF(N398&lt;=M398,"Yes","No"),"")</x:f>
      </x:c>
      <x:c r="S398" s="8" t="n"/>
      <x:c r="T398">
        <x:f>IF(AND(G398&lt;&gt;"",S398&lt;&gt;""),ROUNDUP(G398*S398,0),"")</x:f>
      </x:c>
      <x:c r="X398">
        <x:f>IF(OR(V398&lt;&gt;"",W398&lt;&gt;""),V398+W398,"")</x:f>
      </x:c>
      <x:c r="Y398" s="9">
        <x:f>IF(AND(X398&lt;&gt;"",T398&lt;&gt;""),X398/T398,"")</x:f>
      </x:c>
    </x:row>
    <x:row r="399">
      <x:c r="L399" s="7" t="n"/>
      <x:c r="M399" s="7" t="n"/>
      <x:c r="N399" s="7" t="n"/>
      <x:c r="O399">
        <x:f>IF(AND(N399&lt;&gt;"",L399&lt;&gt;""),N399-L399,"")</x:f>
      </x:c>
      <x:c r="P399">
        <x:f>IF(AND(N399&lt;&gt;"",M399&lt;&gt;""),IF(N399&lt;=M399,"Yes","No"),"")</x:f>
      </x:c>
      <x:c r="S399" s="8" t="n"/>
      <x:c r="T399">
        <x:f>IF(AND(G399&lt;&gt;"",S399&lt;&gt;""),ROUNDUP(G399*S399,0),"")</x:f>
      </x:c>
      <x:c r="X399">
        <x:f>IF(OR(V399&lt;&gt;"",W399&lt;&gt;""),V399+W399,"")</x:f>
      </x:c>
      <x:c r="Y399" s="9">
        <x:f>IF(AND(X399&lt;&gt;"",T399&lt;&gt;""),X399/T399,"")</x:f>
      </x:c>
    </x:row>
    <x:row r="400">
      <x:c r="L400" s="7" t="n"/>
      <x:c r="M400" s="7" t="n"/>
      <x:c r="N400" s="7" t="n"/>
      <x:c r="O400">
        <x:f>IF(AND(N400&lt;&gt;"",L400&lt;&gt;""),N400-L400,"")</x:f>
      </x:c>
      <x:c r="P400">
        <x:f>IF(AND(N400&lt;&gt;"",M400&lt;&gt;""),IF(N400&lt;=M400,"Yes","No"),"")</x:f>
      </x:c>
      <x:c r="S400" s="8" t="n"/>
      <x:c r="T400">
        <x:f>IF(AND(G400&lt;&gt;"",S400&lt;&gt;""),ROUNDUP(G400*S400,0),"")</x:f>
      </x:c>
      <x:c r="X400">
        <x:f>IF(OR(V400&lt;&gt;"",W400&lt;&gt;""),V400+W400,"")</x:f>
      </x:c>
      <x:c r="Y400" s="9">
        <x:f>IF(AND(X400&lt;&gt;"",T400&lt;&gt;""),X400/T400,"")</x:f>
      </x:c>
    </x:row>
    <x:row r="401">
      <x:c r="L401" s="7" t="n"/>
      <x:c r="M401" s="7" t="n"/>
      <x:c r="N401" s="7" t="n"/>
      <x:c r="O401">
        <x:f>IF(AND(N401&lt;&gt;"",L401&lt;&gt;""),N401-L401,"")</x:f>
      </x:c>
      <x:c r="P401">
        <x:f>IF(AND(N401&lt;&gt;"",M401&lt;&gt;""),IF(N401&lt;=M401,"Yes","No"),"")</x:f>
      </x:c>
      <x:c r="S401" s="8" t="n"/>
      <x:c r="T401">
        <x:f>IF(AND(G401&lt;&gt;"",S401&lt;&gt;""),ROUNDUP(G401*S401,0),"")</x:f>
      </x:c>
      <x:c r="X401">
        <x:f>IF(OR(V401&lt;&gt;"",W401&lt;&gt;""),V401+W401,"")</x:f>
      </x:c>
      <x:c r="Y401" s="9">
        <x:f>IF(AND(X401&lt;&gt;"",T401&lt;&gt;""),X401/T401,"")</x:f>
      </x:c>
    </x:row>
    <x:row r="402">
      <x:c r="L402" s="7" t="n"/>
      <x:c r="M402" s="7" t="n"/>
      <x:c r="N402" s="7" t="n"/>
      <x:c r="O402">
        <x:f>IF(AND(N402&lt;&gt;"",L402&lt;&gt;""),N402-L402,"")</x:f>
      </x:c>
      <x:c r="P402">
        <x:f>IF(AND(N402&lt;&gt;"",M402&lt;&gt;""),IF(N402&lt;=M402,"Yes","No"),"")</x:f>
      </x:c>
      <x:c r="S402" s="8" t="n"/>
      <x:c r="T402">
        <x:f>IF(AND(G402&lt;&gt;"",S402&lt;&gt;""),ROUNDUP(G402*S402,0),"")</x:f>
      </x:c>
      <x:c r="X402">
        <x:f>IF(OR(V402&lt;&gt;"",W402&lt;&gt;""),V402+W402,"")</x:f>
      </x:c>
      <x:c r="Y402" s="9">
        <x:f>IF(AND(X402&lt;&gt;"",T402&lt;&gt;""),X402/T402,"")</x:f>
      </x:c>
    </x:row>
    <x:row r="403">
      <x:c r="L403" s="7" t="n"/>
      <x:c r="M403" s="7" t="n"/>
      <x:c r="N403" s="7" t="n"/>
      <x:c r="O403">
        <x:f>IF(AND(N403&lt;&gt;"",L403&lt;&gt;""),N403-L403,"")</x:f>
      </x:c>
      <x:c r="P403">
        <x:f>IF(AND(N403&lt;&gt;"",M403&lt;&gt;""),IF(N403&lt;=M403,"Yes","No"),"")</x:f>
      </x:c>
      <x:c r="S403" s="8" t="n"/>
      <x:c r="T403">
        <x:f>IF(AND(G403&lt;&gt;"",S403&lt;&gt;""),ROUNDUP(G403*S403,0),"")</x:f>
      </x:c>
      <x:c r="X403">
        <x:f>IF(OR(V403&lt;&gt;"",W403&lt;&gt;""),V403+W403,"")</x:f>
      </x:c>
      <x:c r="Y403" s="9">
        <x:f>IF(AND(X403&lt;&gt;"",T403&lt;&gt;""),X403/T403,"")</x:f>
      </x:c>
    </x:row>
    <x:row r="404">
      <x:c r="L404" s="7" t="n"/>
      <x:c r="M404" s="7" t="n"/>
      <x:c r="N404" s="7" t="n"/>
      <x:c r="O404">
        <x:f>IF(AND(N404&lt;&gt;"",L404&lt;&gt;""),N404-L404,"")</x:f>
      </x:c>
      <x:c r="P404">
        <x:f>IF(AND(N404&lt;&gt;"",M404&lt;&gt;""),IF(N404&lt;=M404,"Yes","No"),"")</x:f>
      </x:c>
      <x:c r="S404" s="8" t="n"/>
      <x:c r="T404">
        <x:f>IF(AND(G404&lt;&gt;"",S404&lt;&gt;""),ROUNDUP(G404*S404,0),"")</x:f>
      </x:c>
      <x:c r="X404">
        <x:f>IF(OR(V404&lt;&gt;"",W404&lt;&gt;""),V404+W404,"")</x:f>
      </x:c>
      <x:c r="Y404" s="9">
        <x:f>IF(AND(X404&lt;&gt;"",T404&lt;&gt;""),X404/T404,"")</x:f>
      </x:c>
    </x:row>
    <x:row r="405">
      <x:c r="L405" s="7" t="n"/>
      <x:c r="M405" s="7" t="n"/>
      <x:c r="N405" s="7" t="n"/>
      <x:c r="O405">
        <x:f>IF(AND(N405&lt;&gt;"",L405&lt;&gt;""),N405-L405,"")</x:f>
      </x:c>
      <x:c r="P405">
        <x:f>IF(AND(N405&lt;&gt;"",M405&lt;&gt;""),IF(N405&lt;=M405,"Yes","No"),"")</x:f>
      </x:c>
      <x:c r="S405" s="8" t="n"/>
      <x:c r="T405">
        <x:f>IF(AND(G405&lt;&gt;"",S405&lt;&gt;""),ROUNDUP(G405*S405,0),"")</x:f>
      </x:c>
      <x:c r="X405">
        <x:f>IF(OR(V405&lt;&gt;"",W405&lt;&gt;""),V405+W405,"")</x:f>
      </x:c>
      <x:c r="Y405" s="9">
        <x:f>IF(AND(X405&lt;&gt;"",T405&lt;&gt;""),X405/T405,"")</x:f>
      </x:c>
    </x:row>
    <x:row r="406">
      <x:c r="L406" s="7" t="n"/>
      <x:c r="M406" s="7" t="n"/>
      <x:c r="N406" s="7" t="n"/>
      <x:c r="O406">
        <x:f>IF(AND(N406&lt;&gt;"",L406&lt;&gt;""),N406-L406,"")</x:f>
      </x:c>
      <x:c r="P406">
        <x:f>IF(AND(N406&lt;&gt;"",M406&lt;&gt;""),IF(N406&lt;=M406,"Yes","No"),"")</x:f>
      </x:c>
      <x:c r="S406" s="8" t="n"/>
      <x:c r="T406">
        <x:f>IF(AND(G406&lt;&gt;"",S406&lt;&gt;""),ROUNDUP(G406*S406,0),"")</x:f>
      </x:c>
      <x:c r="X406">
        <x:f>IF(OR(V406&lt;&gt;"",W406&lt;&gt;""),V406+W406,"")</x:f>
      </x:c>
      <x:c r="Y406" s="9">
        <x:f>IF(AND(X406&lt;&gt;"",T406&lt;&gt;""),X406/T406,"")</x:f>
      </x:c>
    </x:row>
    <x:row r="407">
      <x:c r="L407" s="7" t="n"/>
      <x:c r="M407" s="7" t="n"/>
      <x:c r="N407" s="7" t="n"/>
      <x:c r="O407">
        <x:f>IF(AND(N407&lt;&gt;"",L407&lt;&gt;""),N407-L407,"")</x:f>
      </x:c>
      <x:c r="P407">
        <x:f>IF(AND(N407&lt;&gt;"",M407&lt;&gt;""),IF(N407&lt;=M407,"Yes","No"),"")</x:f>
      </x:c>
      <x:c r="S407" s="8" t="n"/>
      <x:c r="T407">
        <x:f>IF(AND(G407&lt;&gt;"",S407&lt;&gt;""),ROUNDUP(G407*S407,0),"")</x:f>
      </x:c>
      <x:c r="X407">
        <x:f>IF(OR(V407&lt;&gt;"",W407&lt;&gt;""),V407+W407,"")</x:f>
      </x:c>
      <x:c r="Y407" s="9">
        <x:f>IF(AND(X407&lt;&gt;"",T407&lt;&gt;""),X407/T407,"")</x:f>
      </x:c>
    </x:row>
    <x:row r="408">
      <x:c r="L408" s="7" t="n"/>
      <x:c r="M408" s="7" t="n"/>
      <x:c r="N408" s="7" t="n"/>
      <x:c r="O408">
        <x:f>IF(AND(N408&lt;&gt;"",L408&lt;&gt;""),N408-L408,"")</x:f>
      </x:c>
      <x:c r="P408">
        <x:f>IF(AND(N408&lt;&gt;"",M408&lt;&gt;""),IF(N408&lt;=M408,"Yes","No"),"")</x:f>
      </x:c>
      <x:c r="S408" s="8" t="n"/>
      <x:c r="T408">
        <x:f>IF(AND(G408&lt;&gt;"",S408&lt;&gt;""),ROUNDUP(G408*S408,0),"")</x:f>
      </x:c>
      <x:c r="X408">
        <x:f>IF(OR(V408&lt;&gt;"",W408&lt;&gt;""),V408+W408,"")</x:f>
      </x:c>
      <x:c r="Y408" s="9">
        <x:f>IF(AND(X408&lt;&gt;"",T408&lt;&gt;""),X408/T408,"")</x:f>
      </x:c>
    </x:row>
    <x:row r="409">
      <x:c r="L409" s="7" t="n"/>
      <x:c r="M409" s="7" t="n"/>
      <x:c r="N409" s="7" t="n"/>
      <x:c r="O409">
        <x:f>IF(AND(N409&lt;&gt;"",L409&lt;&gt;""),N409-L409,"")</x:f>
      </x:c>
      <x:c r="P409">
        <x:f>IF(AND(N409&lt;&gt;"",M409&lt;&gt;""),IF(N409&lt;=M409,"Yes","No"),"")</x:f>
      </x:c>
      <x:c r="S409" s="8" t="n"/>
      <x:c r="T409">
        <x:f>IF(AND(G409&lt;&gt;"",S409&lt;&gt;""),ROUNDUP(G409*S409,0),"")</x:f>
      </x:c>
      <x:c r="X409">
        <x:f>IF(OR(V409&lt;&gt;"",W409&lt;&gt;""),V409+W409,"")</x:f>
      </x:c>
      <x:c r="Y409" s="9">
        <x:f>IF(AND(X409&lt;&gt;"",T409&lt;&gt;""),X409/T409,"")</x:f>
      </x:c>
    </x:row>
    <x:row r="410">
      <x:c r="L410" s="7" t="n"/>
      <x:c r="M410" s="7" t="n"/>
      <x:c r="N410" s="7" t="n"/>
      <x:c r="O410">
        <x:f>IF(AND(N410&lt;&gt;"",L410&lt;&gt;""),N410-L410,"")</x:f>
      </x:c>
      <x:c r="P410">
        <x:f>IF(AND(N410&lt;&gt;"",M410&lt;&gt;""),IF(N410&lt;=M410,"Yes","No"),"")</x:f>
      </x:c>
      <x:c r="S410" s="8" t="n"/>
      <x:c r="T410">
        <x:f>IF(AND(G410&lt;&gt;"",S410&lt;&gt;""),ROUNDUP(G410*S410,0),"")</x:f>
      </x:c>
      <x:c r="X410">
        <x:f>IF(OR(V410&lt;&gt;"",W410&lt;&gt;""),V410+W410,"")</x:f>
      </x:c>
      <x:c r="Y410" s="9">
        <x:f>IF(AND(X410&lt;&gt;"",T410&lt;&gt;""),X410/T410,"")</x:f>
      </x:c>
    </x:row>
    <x:row r="411">
      <x:c r="L411" s="7" t="n"/>
      <x:c r="M411" s="7" t="n"/>
      <x:c r="N411" s="7" t="n"/>
      <x:c r="O411">
        <x:f>IF(AND(N411&lt;&gt;"",L411&lt;&gt;""),N411-L411,"")</x:f>
      </x:c>
      <x:c r="P411">
        <x:f>IF(AND(N411&lt;&gt;"",M411&lt;&gt;""),IF(N411&lt;=M411,"Yes","No"),"")</x:f>
      </x:c>
      <x:c r="S411" s="8" t="n"/>
      <x:c r="T411">
        <x:f>IF(AND(G411&lt;&gt;"",S411&lt;&gt;""),ROUNDUP(G411*S411,0),"")</x:f>
      </x:c>
      <x:c r="X411">
        <x:f>IF(OR(V411&lt;&gt;"",W411&lt;&gt;""),V411+W411,"")</x:f>
      </x:c>
      <x:c r="Y411" s="9">
        <x:f>IF(AND(X411&lt;&gt;"",T411&lt;&gt;""),X411/T411,"")</x:f>
      </x:c>
    </x:row>
    <x:row r="412">
      <x:c r="L412" s="7" t="n"/>
      <x:c r="M412" s="7" t="n"/>
      <x:c r="N412" s="7" t="n"/>
      <x:c r="O412">
        <x:f>IF(AND(N412&lt;&gt;"",L412&lt;&gt;""),N412-L412,"")</x:f>
      </x:c>
      <x:c r="P412">
        <x:f>IF(AND(N412&lt;&gt;"",M412&lt;&gt;""),IF(N412&lt;=M412,"Yes","No"),"")</x:f>
      </x:c>
      <x:c r="S412" s="8" t="n"/>
      <x:c r="T412">
        <x:f>IF(AND(G412&lt;&gt;"",S412&lt;&gt;""),ROUNDUP(G412*S412,0),"")</x:f>
      </x:c>
      <x:c r="X412">
        <x:f>IF(OR(V412&lt;&gt;"",W412&lt;&gt;""),V412+W412,"")</x:f>
      </x:c>
      <x:c r="Y412" s="9">
        <x:f>IF(AND(X412&lt;&gt;"",T412&lt;&gt;""),X412/T412,"")</x:f>
      </x:c>
    </x:row>
    <x:row r="413">
      <x:c r="L413" s="7" t="n"/>
      <x:c r="M413" s="7" t="n"/>
      <x:c r="N413" s="7" t="n"/>
      <x:c r="O413">
        <x:f>IF(AND(N413&lt;&gt;"",L413&lt;&gt;""),N413-L413,"")</x:f>
      </x:c>
      <x:c r="P413">
        <x:f>IF(AND(N413&lt;&gt;"",M413&lt;&gt;""),IF(N413&lt;=M413,"Yes","No"),"")</x:f>
      </x:c>
      <x:c r="S413" s="8" t="n"/>
      <x:c r="T413">
        <x:f>IF(AND(G413&lt;&gt;"",S413&lt;&gt;""),ROUNDUP(G413*S413,0),"")</x:f>
      </x:c>
      <x:c r="X413">
        <x:f>IF(OR(V413&lt;&gt;"",W413&lt;&gt;""),V413+W413,"")</x:f>
      </x:c>
      <x:c r="Y413" s="9">
        <x:f>IF(AND(X413&lt;&gt;"",T413&lt;&gt;""),X413/T413,"")</x:f>
      </x:c>
    </x:row>
    <x:row r="414">
      <x:c r="L414" s="7" t="n"/>
      <x:c r="M414" s="7" t="n"/>
      <x:c r="N414" s="7" t="n"/>
      <x:c r="O414">
        <x:f>IF(AND(N414&lt;&gt;"",L414&lt;&gt;""),N414-L414,"")</x:f>
      </x:c>
      <x:c r="P414">
        <x:f>IF(AND(N414&lt;&gt;"",M414&lt;&gt;""),IF(N414&lt;=M414,"Yes","No"),"")</x:f>
      </x:c>
      <x:c r="S414" s="8" t="n"/>
      <x:c r="T414">
        <x:f>IF(AND(G414&lt;&gt;"",S414&lt;&gt;""),ROUNDUP(G414*S414,0),"")</x:f>
      </x:c>
      <x:c r="X414">
        <x:f>IF(OR(V414&lt;&gt;"",W414&lt;&gt;""),V414+W414,"")</x:f>
      </x:c>
      <x:c r="Y414" s="9">
        <x:f>IF(AND(X414&lt;&gt;"",T414&lt;&gt;""),X414/T414,"")</x:f>
      </x:c>
    </x:row>
    <x:row r="415">
      <x:c r="L415" s="7" t="n"/>
      <x:c r="M415" s="7" t="n"/>
      <x:c r="N415" s="7" t="n"/>
      <x:c r="O415">
        <x:f>IF(AND(N415&lt;&gt;"",L415&lt;&gt;""),N415-L415,"")</x:f>
      </x:c>
      <x:c r="P415">
        <x:f>IF(AND(N415&lt;&gt;"",M415&lt;&gt;""),IF(N415&lt;=M415,"Yes","No"),"")</x:f>
      </x:c>
      <x:c r="S415" s="8" t="n"/>
      <x:c r="T415">
        <x:f>IF(AND(G415&lt;&gt;"",S415&lt;&gt;""),ROUNDUP(G415*S415,0),"")</x:f>
      </x:c>
      <x:c r="X415">
        <x:f>IF(OR(V415&lt;&gt;"",W415&lt;&gt;""),V415+W415,"")</x:f>
      </x:c>
      <x:c r="Y415" s="9">
        <x:f>IF(AND(X415&lt;&gt;"",T415&lt;&gt;""),X415/T415,"")</x:f>
      </x:c>
    </x:row>
    <x:row r="416">
      <x:c r="L416" s="7" t="n"/>
      <x:c r="M416" s="7" t="n"/>
      <x:c r="N416" s="7" t="n"/>
      <x:c r="O416">
        <x:f>IF(AND(N416&lt;&gt;"",L416&lt;&gt;""),N416-L416,"")</x:f>
      </x:c>
      <x:c r="P416">
        <x:f>IF(AND(N416&lt;&gt;"",M416&lt;&gt;""),IF(N416&lt;=M416,"Yes","No"),"")</x:f>
      </x:c>
      <x:c r="S416" s="8" t="n"/>
      <x:c r="T416">
        <x:f>IF(AND(G416&lt;&gt;"",S416&lt;&gt;""),ROUNDUP(G416*S416,0),"")</x:f>
      </x:c>
      <x:c r="X416">
        <x:f>IF(OR(V416&lt;&gt;"",W416&lt;&gt;""),V416+W416,"")</x:f>
      </x:c>
      <x:c r="Y416" s="9">
        <x:f>IF(AND(X416&lt;&gt;"",T416&lt;&gt;""),X416/T416,"")</x:f>
      </x:c>
    </x:row>
    <x:row r="417">
      <x:c r="L417" s="7" t="n"/>
      <x:c r="M417" s="7" t="n"/>
      <x:c r="N417" s="7" t="n"/>
      <x:c r="O417">
        <x:f>IF(AND(N417&lt;&gt;"",L417&lt;&gt;""),N417-L417,"")</x:f>
      </x:c>
      <x:c r="P417">
        <x:f>IF(AND(N417&lt;&gt;"",M417&lt;&gt;""),IF(N417&lt;=M417,"Yes","No"),"")</x:f>
      </x:c>
      <x:c r="S417" s="8" t="n"/>
      <x:c r="T417">
        <x:f>IF(AND(G417&lt;&gt;"",S417&lt;&gt;""),ROUNDUP(G417*S417,0),"")</x:f>
      </x:c>
      <x:c r="X417">
        <x:f>IF(OR(V417&lt;&gt;"",W417&lt;&gt;""),V417+W417,"")</x:f>
      </x:c>
      <x:c r="Y417" s="9">
        <x:f>IF(AND(X417&lt;&gt;"",T417&lt;&gt;""),X417/T417,"")</x:f>
      </x:c>
    </x:row>
    <x:row r="418">
      <x:c r="L418" s="7" t="n"/>
      <x:c r="M418" s="7" t="n"/>
      <x:c r="N418" s="7" t="n"/>
      <x:c r="O418">
        <x:f>IF(AND(N418&lt;&gt;"",L418&lt;&gt;""),N418-L418,"")</x:f>
      </x:c>
      <x:c r="P418">
        <x:f>IF(AND(N418&lt;&gt;"",M418&lt;&gt;""),IF(N418&lt;=M418,"Yes","No"),"")</x:f>
      </x:c>
      <x:c r="S418" s="8" t="n"/>
      <x:c r="T418">
        <x:f>IF(AND(G418&lt;&gt;"",S418&lt;&gt;""),ROUNDUP(G418*S418,0),"")</x:f>
      </x:c>
      <x:c r="X418">
        <x:f>IF(OR(V418&lt;&gt;"",W418&lt;&gt;""),V418+W418,"")</x:f>
      </x:c>
      <x:c r="Y418" s="9">
        <x:f>IF(AND(X418&lt;&gt;"",T418&lt;&gt;""),X418/T418,"")</x:f>
      </x:c>
    </x:row>
    <x:row r="419">
      <x:c r="L419" s="7" t="n"/>
      <x:c r="M419" s="7" t="n"/>
      <x:c r="N419" s="7" t="n"/>
      <x:c r="O419">
        <x:f>IF(AND(N419&lt;&gt;"",L419&lt;&gt;""),N419-L419,"")</x:f>
      </x:c>
      <x:c r="P419">
        <x:f>IF(AND(N419&lt;&gt;"",M419&lt;&gt;""),IF(N419&lt;=M419,"Yes","No"),"")</x:f>
      </x:c>
      <x:c r="S419" s="8" t="n"/>
      <x:c r="T419">
        <x:f>IF(AND(G419&lt;&gt;"",S419&lt;&gt;""),ROUNDUP(G419*S419,0),"")</x:f>
      </x:c>
      <x:c r="X419">
        <x:f>IF(OR(V419&lt;&gt;"",W419&lt;&gt;""),V419+W419,"")</x:f>
      </x:c>
      <x:c r="Y419" s="9">
        <x:f>IF(AND(X419&lt;&gt;"",T419&lt;&gt;""),X419/T419,"")</x:f>
      </x:c>
    </x:row>
    <x:row r="420">
      <x:c r="L420" s="7" t="n"/>
      <x:c r="M420" s="7" t="n"/>
      <x:c r="N420" s="7" t="n"/>
      <x:c r="O420">
        <x:f>IF(AND(N420&lt;&gt;"",L420&lt;&gt;""),N420-L420,"")</x:f>
      </x:c>
      <x:c r="P420">
        <x:f>IF(AND(N420&lt;&gt;"",M420&lt;&gt;""),IF(N420&lt;=M420,"Yes","No"),"")</x:f>
      </x:c>
      <x:c r="S420" s="8" t="n"/>
      <x:c r="T420">
        <x:f>IF(AND(G420&lt;&gt;"",S420&lt;&gt;""),ROUNDUP(G420*S420,0),"")</x:f>
      </x:c>
      <x:c r="X420">
        <x:f>IF(OR(V420&lt;&gt;"",W420&lt;&gt;""),V420+W420,"")</x:f>
      </x:c>
      <x:c r="Y420" s="9">
        <x:f>IF(AND(X420&lt;&gt;"",T420&lt;&gt;""),X420/T420,"")</x:f>
      </x:c>
    </x:row>
    <x:row r="421">
      <x:c r="L421" s="7" t="n"/>
      <x:c r="M421" s="7" t="n"/>
      <x:c r="N421" s="7" t="n"/>
      <x:c r="O421">
        <x:f>IF(AND(N421&lt;&gt;"",L421&lt;&gt;""),N421-L421,"")</x:f>
      </x:c>
      <x:c r="P421">
        <x:f>IF(AND(N421&lt;&gt;"",M421&lt;&gt;""),IF(N421&lt;=M421,"Yes","No"),"")</x:f>
      </x:c>
      <x:c r="S421" s="8" t="n"/>
      <x:c r="T421">
        <x:f>IF(AND(G421&lt;&gt;"",S421&lt;&gt;""),ROUNDUP(G421*S421,0),"")</x:f>
      </x:c>
      <x:c r="X421">
        <x:f>IF(OR(V421&lt;&gt;"",W421&lt;&gt;""),V421+W421,"")</x:f>
      </x:c>
      <x:c r="Y421" s="9">
        <x:f>IF(AND(X421&lt;&gt;"",T421&lt;&gt;""),X421/T421,"")</x:f>
      </x:c>
    </x:row>
    <x:row r="422">
      <x:c r="L422" s="7" t="n"/>
      <x:c r="M422" s="7" t="n"/>
      <x:c r="N422" s="7" t="n"/>
      <x:c r="O422">
        <x:f>IF(AND(N422&lt;&gt;"",L422&lt;&gt;""),N422-L422,"")</x:f>
      </x:c>
      <x:c r="P422">
        <x:f>IF(AND(N422&lt;&gt;"",M422&lt;&gt;""),IF(N422&lt;=M422,"Yes","No"),"")</x:f>
      </x:c>
      <x:c r="S422" s="8" t="n"/>
      <x:c r="T422">
        <x:f>IF(AND(G422&lt;&gt;"",S422&lt;&gt;""),ROUNDUP(G422*S422,0),"")</x:f>
      </x:c>
      <x:c r="X422">
        <x:f>IF(OR(V422&lt;&gt;"",W422&lt;&gt;""),V422+W422,"")</x:f>
      </x:c>
      <x:c r="Y422" s="9">
        <x:f>IF(AND(X422&lt;&gt;"",T422&lt;&gt;""),X422/T422,"")</x:f>
      </x:c>
    </x:row>
    <x:row r="423">
      <x:c r="L423" s="7" t="n"/>
      <x:c r="M423" s="7" t="n"/>
      <x:c r="N423" s="7" t="n"/>
      <x:c r="O423">
        <x:f>IF(AND(N423&lt;&gt;"",L423&lt;&gt;""),N423-L423,"")</x:f>
      </x:c>
      <x:c r="P423">
        <x:f>IF(AND(N423&lt;&gt;"",M423&lt;&gt;""),IF(N423&lt;=M423,"Yes","No"),"")</x:f>
      </x:c>
      <x:c r="S423" s="8" t="n"/>
      <x:c r="T423">
        <x:f>IF(AND(G423&lt;&gt;"",S423&lt;&gt;""),ROUNDUP(G423*S423,0),"")</x:f>
      </x:c>
      <x:c r="X423">
        <x:f>IF(OR(V423&lt;&gt;"",W423&lt;&gt;""),V423+W423,"")</x:f>
      </x:c>
      <x:c r="Y423" s="9">
        <x:f>IF(AND(X423&lt;&gt;"",T423&lt;&gt;""),X423/T423,"")</x:f>
      </x:c>
    </x:row>
    <x:row r="424">
      <x:c r="L424" s="7" t="n"/>
      <x:c r="M424" s="7" t="n"/>
      <x:c r="N424" s="7" t="n"/>
      <x:c r="O424">
        <x:f>IF(AND(N424&lt;&gt;"",L424&lt;&gt;""),N424-L424,"")</x:f>
      </x:c>
      <x:c r="P424">
        <x:f>IF(AND(N424&lt;&gt;"",M424&lt;&gt;""),IF(N424&lt;=M424,"Yes","No"),"")</x:f>
      </x:c>
      <x:c r="S424" s="8" t="n"/>
      <x:c r="T424">
        <x:f>IF(AND(G424&lt;&gt;"",S424&lt;&gt;""),ROUNDUP(G424*S424,0),"")</x:f>
      </x:c>
      <x:c r="X424">
        <x:f>IF(OR(V424&lt;&gt;"",W424&lt;&gt;""),V424+W424,"")</x:f>
      </x:c>
      <x:c r="Y424" s="9">
        <x:f>IF(AND(X424&lt;&gt;"",T424&lt;&gt;""),X424/T424,"")</x:f>
      </x:c>
    </x:row>
    <x:row r="425">
      <x:c r="L425" s="7" t="n"/>
      <x:c r="M425" s="7" t="n"/>
      <x:c r="N425" s="7" t="n"/>
      <x:c r="O425">
        <x:f>IF(AND(N425&lt;&gt;"",L425&lt;&gt;""),N425-L425,"")</x:f>
      </x:c>
      <x:c r="P425">
        <x:f>IF(AND(N425&lt;&gt;"",M425&lt;&gt;""),IF(N425&lt;=M425,"Yes","No"),"")</x:f>
      </x:c>
      <x:c r="S425" s="8" t="n"/>
      <x:c r="T425">
        <x:f>IF(AND(G425&lt;&gt;"",S425&lt;&gt;""),ROUNDUP(G425*S425,0),"")</x:f>
      </x:c>
      <x:c r="X425">
        <x:f>IF(OR(V425&lt;&gt;"",W425&lt;&gt;""),V425+W425,"")</x:f>
      </x:c>
      <x:c r="Y425" s="9">
        <x:f>IF(AND(X425&lt;&gt;"",T425&lt;&gt;""),X425/T425,"")</x:f>
      </x:c>
    </x:row>
    <x:row r="426">
      <x:c r="L426" s="7" t="n"/>
      <x:c r="M426" s="7" t="n"/>
      <x:c r="N426" s="7" t="n"/>
      <x:c r="O426">
        <x:f>IF(AND(N426&lt;&gt;"",L426&lt;&gt;""),N426-L426,"")</x:f>
      </x:c>
      <x:c r="P426">
        <x:f>IF(AND(N426&lt;&gt;"",M426&lt;&gt;""),IF(N426&lt;=M426,"Yes","No"),"")</x:f>
      </x:c>
      <x:c r="S426" s="8" t="n"/>
      <x:c r="T426">
        <x:f>IF(AND(G426&lt;&gt;"",S426&lt;&gt;""),ROUNDUP(G426*S426,0),"")</x:f>
      </x:c>
      <x:c r="X426">
        <x:f>IF(OR(V426&lt;&gt;"",W426&lt;&gt;""),V426+W426,"")</x:f>
      </x:c>
      <x:c r="Y426" s="9">
        <x:f>IF(AND(X426&lt;&gt;"",T426&lt;&gt;""),X426/T426,"")</x:f>
      </x:c>
    </x:row>
    <x:row r="427">
      <x:c r="L427" s="7" t="n"/>
      <x:c r="M427" s="7" t="n"/>
      <x:c r="N427" s="7" t="n"/>
      <x:c r="O427">
        <x:f>IF(AND(N427&lt;&gt;"",L427&lt;&gt;""),N427-L427,"")</x:f>
      </x:c>
      <x:c r="P427">
        <x:f>IF(AND(N427&lt;&gt;"",M427&lt;&gt;""),IF(N427&lt;=M427,"Yes","No"),"")</x:f>
      </x:c>
      <x:c r="S427" s="8" t="n"/>
      <x:c r="T427">
        <x:f>IF(AND(G427&lt;&gt;"",S427&lt;&gt;""),ROUNDUP(G427*S427,0),"")</x:f>
      </x:c>
      <x:c r="X427">
        <x:f>IF(OR(V427&lt;&gt;"",W427&lt;&gt;""),V427+W427,"")</x:f>
      </x:c>
      <x:c r="Y427" s="9">
        <x:f>IF(AND(X427&lt;&gt;"",T427&lt;&gt;""),X427/T427,"")</x:f>
      </x:c>
    </x:row>
    <x:row r="428">
      <x:c r="L428" s="7" t="n"/>
      <x:c r="M428" s="7" t="n"/>
      <x:c r="N428" s="7" t="n"/>
      <x:c r="O428">
        <x:f>IF(AND(N428&lt;&gt;"",L428&lt;&gt;""),N428-L428,"")</x:f>
      </x:c>
      <x:c r="P428">
        <x:f>IF(AND(N428&lt;&gt;"",M428&lt;&gt;""),IF(N428&lt;=M428,"Yes","No"),"")</x:f>
      </x:c>
      <x:c r="S428" s="8" t="n"/>
      <x:c r="T428">
        <x:f>IF(AND(G428&lt;&gt;"",S428&lt;&gt;""),ROUNDUP(G428*S428,0),"")</x:f>
      </x:c>
      <x:c r="X428">
        <x:f>IF(OR(V428&lt;&gt;"",W428&lt;&gt;""),V428+W428,"")</x:f>
      </x:c>
      <x:c r="Y428" s="9">
        <x:f>IF(AND(X428&lt;&gt;"",T428&lt;&gt;""),X428/T428,"")</x:f>
      </x:c>
    </x:row>
    <x:row r="429">
      <x:c r="L429" s="7" t="n"/>
      <x:c r="M429" s="7" t="n"/>
      <x:c r="N429" s="7" t="n"/>
      <x:c r="O429">
        <x:f>IF(AND(N429&lt;&gt;"",L429&lt;&gt;""),N429-L429,"")</x:f>
      </x:c>
      <x:c r="P429">
        <x:f>IF(AND(N429&lt;&gt;"",M429&lt;&gt;""),IF(N429&lt;=M429,"Yes","No"),"")</x:f>
      </x:c>
      <x:c r="S429" s="8" t="n"/>
      <x:c r="T429">
        <x:f>IF(AND(G429&lt;&gt;"",S429&lt;&gt;""),ROUNDUP(G429*S429,0),"")</x:f>
      </x:c>
      <x:c r="X429">
        <x:f>IF(OR(V429&lt;&gt;"",W429&lt;&gt;""),V429+W429,"")</x:f>
      </x:c>
      <x:c r="Y429" s="9">
        <x:f>IF(AND(X429&lt;&gt;"",T429&lt;&gt;""),X429/T429,"")</x:f>
      </x:c>
    </x:row>
    <x:row r="430">
      <x:c r="L430" s="7" t="n"/>
      <x:c r="M430" s="7" t="n"/>
      <x:c r="N430" s="7" t="n"/>
      <x:c r="O430">
        <x:f>IF(AND(N430&lt;&gt;"",L430&lt;&gt;""),N430-L430,"")</x:f>
      </x:c>
      <x:c r="P430">
        <x:f>IF(AND(N430&lt;&gt;"",M430&lt;&gt;""),IF(N430&lt;=M430,"Yes","No"),"")</x:f>
      </x:c>
      <x:c r="S430" s="8" t="n"/>
      <x:c r="T430">
        <x:f>IF(AND(G430&lt;&gt;"",S430&lt;&gt;""),ROUNDUP(G430*S430,0),"")</x:f>
      </x:c>
      <x:c r="X430">
        <x:f>IF(OR(V430&lt;&gt;"",W430&lt;&gt;""),V430+W430,"")</x:f>
      </x:c>
      <x:c r="Y430" s="9">
        <x:f>IF(AND(X430&lt;&gt;"",T430&lt;&gt;""),X430/T430,"")</x:f>
      </x:c>
    </x:row>
    <x:row r="431">
      <x:c r="L431" s="7" t="n"/>
      <x:c r="M431" s="7" t="n"/>
      <x:c r="N431" s="7" t="n"/>
      <x:c r="O431">
        <x:f>IF(AND(N431&lt;&gt;"",L431&lt;&gt;""),N431-L431,"")</x:f>
      </x:c>
      <x:c r="P431">
        <x:f>IF(AND(N431&lt;&gt;"",M431&lt;&gt;""),IF(N431&lt;=M431,"Yes","No"),"")</x:f>
      </x:c>
      <x:c r="S431" s="8" t="n"/>
      <x:c r="T431">
        <x:f>IF(AND(G431&lt;&gt;"",S431&lt;&gt;""),ROUNDUP(G431*S431,0),"")</x:f>
      </x:c>
      <x:c r="X431">
        <x:f>IF(OR(V431&lt;&gt;"",W431&lt;&gt;""),V431+W431,"")</x:f>
      </x:c>
      <x:c r="Y431" s="9">
        <x:f>IF(AND(X431&lt;&gt;"",T431&lt;&gt;""),X431/T431,"")</x:f>
      </x:c>
    </x:row>
    <x:row r="432">
      <x:c r="L432" s="7" t="n"/>
      <x:c r="M432" s="7" t="n"/>
      <x:c r="N432" s="7" t="n"/>
      <x:c r="O432">
        <x:f>IF(AND(N432&lt;&gt;"",L432&lt;&gt;""),N432-L432,"")</x:f>
      </x:c>
      <x:c r="P432">
        <x:f>IF(AND(N432&lt;&gt;"",M432&lt;&gt;""),IF(N432&lt;=M432,"Yes","No"),"")</x:f>
      </x:c>
      <x:c r="S432" s="8" t="n"/>
      <x:c r="T432">
        <x:f>IF(AND(G432&lt;&gt;"",S432&lt;&gt;""),ROUNDUP(G432*S432,0),"")</x:f>
      </x:c>
      <x:c r="X432">
        <x:f>IF(OR(V432&lt;&gt;"",W432&lt;&gt;""),V432+W432,"")</x:f>
      </x:c>
      <x:c r="Y432" s="9">
        <x:f>IF(AND(X432&lt;&gt;"",T432&lt;&gt;""),X432/T432,"")</x:f>
      </x:c>
    </x:row>
    <x:row r="433">
      <x:c r="L433" s="7" t="n"/>
      <x:c r="M433" s="7" t="n"/>
      <x:c r="N433" s="7" t="n"/>
      <x:c r="O433">
        <x:f>IF(AND(N433&lt;&gt;"",L433&lt;&gt;""),N433-L433,"")</x:f>
      </x:c>
      <x:c r="P433">
        <x:f>IF(AND(N433&lt;&gt;"",M433&lt;&gt;""),IF(N433&lt;=M433,"Yes","No"),"")</x:f>
      </x:c>
      <x:c r="S433" s="8" t="n"/>
      <x:c r="T433">
        <x:f>IF(AND(G433&lt;&gt;"",S433&lt;&gt;""),ROUNDUP(G433*S433,0),"")</x:f>
      </x:c>
      <x:c r="X433">
        <x:f>IF(OR(V433&lt;&gt;"",W433&lt;&gt;""),V433+W433,"")</x:f>
      </x:c>
      <x:c r="Y433" s="9">
        <x:f>IF(AND(X433&lt;&gt;"",T433&lt;&gt;""),X433/T433,"")</x:f>
      </x:c>
    </x:row>
    <x:row r="434">
      <x:c r="L434" s="7" t="n"/>
      <x:c r="M434" s="7" t="n"/>
      <x:c r="N434" s="7" t="n"/>
      <x:c r="O434">
        <x:f>IF(AND(N434&lt;&gt;"",L434&lt;&gt;""),N434-L434,"")</x:f>
      </x:c>
      <x:c r="P434">
        <x:f>IF(AND(N434&lt;&gt;"",M434&lt;&gt;""),IF(N434&lt;=M434,"Yes","No"),"")</x:f>
      </x:c>
      <x:c r="S434" s="8" t="n"/>
      <x:c r="T434">
        <x:f>IF(AND(G434&lt;&gt;"",S434&lt;&gt;""),ROUNDUP(G434*S434,0),"")</x:f>
      </x:c>
      <x:c r="X434">
        <x:f>IF(OR(V434&lt;&gt;"",W434&lt;&gt;""),V434+W434,"")</x:f>
      </x:c>
      <x:c r="Y434" s="9">
        <x:f>IF(AND(X434&lt;&gt;"",T434&lt;&gt;""),X434/T434,"")</x:f>
      </x:c>
    </x:row>
    <x:row r="435">
      <x:c r="L435" s="7" t="n"/>
      <x:c r="M435" s="7" t="n"/>
      <x:c r="N435" s="7" t="n"/>
      <x:c r="O435">
        <x:f>IF(AND(N435&lt;&gt;"",L435&lt;&gt;""),N435-L435,"")</x:f>
      </x:c>
      <x:c r="P435">
        <x:f>IF(AND(N435&lt;&gt;"",M435&lt;&gt;""),IF(N435&lt;=M435,"Yes","No"),"")</x:f>
      </x:c>
      <x:c r="S435" s="8" t="n"/>
      <x:c r="T435">
        <x:f>IF(AND(G435&lt;&gt;"",S435&lt;&gt;""),ROUNDUP(G435*S435,0),"")</x:f>
      </x:c>
      <x:c r="X435">
        <x:f>IF(OR(V435&lt;&gt;"",W435&lt;&gt;""),V435+W435,"")</x:f>
      </x:c>
      <x:c r="Y435" s="9">
        <x:f>IF(AND(X435&lt;&gt;"",T435&lt;&gt;""),X435/T435,"")</x:f>
      </x:c>
    </x:row>
    <x:row r="436">
      <x:c r="L436" s="7" t="n"/>
      <x:c r="M436" s="7" t="n"/>
      <x:c r="N436" s="7" t="n"/>
      <x:c r="O436">
        <x:f>IF(AND(N436&lt;&gt;"",L436&lt;&gt;""),N436-L436,"")</x:f>
      </x:c>
      <x:c r="P436">
        <x:f>IF(AND(N436&lt;&gt;"",M436&lt;&gt;""),IF(N436&lt;=M436,"Yes","No"),"")</x:f>
      </x:c>
      <x:c r="S436" s="8" t="n"/>
      <x:c r="T436">
        <x:f>IF(AND(G436&lt;&gt;"",S436&lt;&gt;""),ROUNDUP(G436*S436,0),"")</x:f>
      </x:c>
      <x:c r="X436">
        <x:f>IF(OR(V436&lt;&gt;"",W436&lt;&gt;""),V436+W436,"")</x:f>
      </x:c>
      <x:c r="Y436" s="9">
        <x:f>IF(AND(X436&lt;&gt;"",T436&lt;&gt;""),X436/T436,"")</x:f>
      </x:c>
    </x:row>
    <x:row r="437">
      <x:c r="L437" s="7" t="n"/>
      <x:c r="M437" s="7" t="n"/>
      <x:c r="N437" s="7" t="n"/>
      <x:c r="O437">
        <x:f>IF(AND(N437&lt;&gt;"",L437&lt;&gt;""),N437-L437,"")</x:f>
      </x:c>
      <x:c r="P437">
        <x:f>IF(AND(N437&lt;&gt;"",M437&lt;&gt;""),IF(N437&lt;=M437,"Yes","No"),"")</x:f>
      </x:c>
      <x:c r="S437" s="8" t="n"/>
      <x:c r="T437">
        <x:f>IF(AND(G437&lt;&gt;"",S437&lt;&gt;""),ROUNDUP(G437*S437,0),"")</x:f>
      </x:c>
      <x:c r="X437">
        <x:f>IF(OR(V437&lt;&gt;"",W437&lt;&gt;""),V437+W437,"")</x:f>
      </x:c>
      <x:c r="Y437" s="9">
        <x:f>IF(AND(X437&lt;&gt;"",T437&lt;&gt;""),X437/T437,"")</x:f>
      </x:c>
    </x:row>
    <x:row r="438">
      <x:c r="L438" s="7" t="n"/>
      <x:c r="M438" s="7" t="n"/>
      <x:c r="N438" s="7" t="n"/>
      <x:c r="O438">
        <x:f>IF(AND(N438&lt;&gt;"",L438&lt;&gt;""),N438-L438,"")</x:f>
      </x:c>
      <x:c r="P438">
        <x:f>IF(AND(N438&lt;&gt;"",M438&lt;&gt;""),IF(N438&lt;=M438,"Yes","No"),"")</x:f>
      </x:c>
      <x:c r="S438" s="8" t="n"/>
      <x:c r="T438">
        <x:f>IF(AND(G438&lt;&gt;"",S438&lt;&gt;""),ROUNDUP(G438*S438,0),"")</x:f>
      </x:c>
      <x:c r="X438">
        <x:f>IF(OR(V438&lt;&gt;"",W438&lt;&gt;""),V438+W438,"")</x:f>
      </x:c>
      <x:c r="Y438" s="9">
        <x:f>IF(AND(X438&lt;&gt;"",T438&lt;&gt;""),X438/T438,"")</x:f>
      </x:c>
    </x:row>
    <x:row r="439">
      <x:c r="L439" s="7" t="n"/>
      <x:c r="M439" s="7" t="n"/>
      <x:c r="N439" s="7" t="n"/>
      <x:c r="O439">
        <x:f>IF(AND(N439&lt;&gt;"",L439&lt;&gt;""),N439-L439,"")</x:f>
      </x:c>
      <x:c r="P439">
        <x:f>IF(AND(N439&lt;&gt;"",M439&lt;&gt;""),IF(N439&lt;=M439,"Yes","No"),"")</x:f>
      </x:c>
      <x:c r="S439" s="8" t="n"/>
      <x:c r="T439">
        <x:f>IF(AND(G439&lt;&gt;"",S439&lt;&gt;""),ROUNDUP(G439*S439,0),"")</x:f>
      </x:c>
      <x:c r="X439">
        <x:f>IF(OR(V439&lt;&gt;"",W439&lt;&gt;""),V439+W439,"")</x:f>
      </x:c>
      <x:c r="Y439" s="9">
        <x:f>IF(AND(X439&lt;&gt;"",T439&lt;&gt;""),X439/T439,"")</x:f>
      </x:c>
    </x:row>
    <x:row r="440">
      <x:c r="L440" s="7" t="n"/>
      <x:c r="M440" s="7" t="n"/>
      <x:c r="N440" s="7" t="n"/>
      <x:c r="O440">
        <x:f>IF(AND(N440&lt;&gt;"",L440&lt;&gt;""),N440-L440,"")</x:f>
      </x:c>
      <x:c r="P440">
        <x:f>IF(AND(N440&lt;&gt;"",M440&lt;&gt;""),IF(N440&lt;=M440,"Yes","No"),"")</x:f>
      </x:c>
      <x:c r="S440" s="8" t="n"/>
      <x:c r="T440">
        <x:f>IF(AND(G440&lt;&gt;"",S440&lt;&gt;""),ROUNDUP(G440*S440,0),"")</x:f>
      </x:c>
      <x:c r="X440">
        <x:f>IF(OR(V440&lt;&gt;"",W440&lt;&gt;""),V440+W440,"")</x:f>
      </x:c>
      <x:c r="Y440" s="9">
        <x:f>IF(AND(X440&lt;&gt;"",T440&lt;&gt;""),X440/T440,"")</x:f>
      </x:c>
    </x:row>
    <x:row r="441">
      <x:c r="L441" s="7" t="n"/>
      <x:c r="M441" s="7" t="n"/>
      <x:c r="N441" s="7" t="n"/>
      <x:c r="O441">
        <x:f>IF(AND(N441&lt;&gt;"",L441&lt;&gt;""),N441-L441,"")</x:f>
      </x:c>
      <x:c r="P441">
        <x:f>IF(AND(N441&lt;&gt;"",M441&lt;&gt;""),IF(N441&lt;=M441,"Yes","No"),"")</x:f>
      </x:c>
      <x:c r="S441" s="8" t="n"/>
      <x:c r="T441">
        <x:f>IF(AND(G441&lt;&gt;"",S441&lt;&gt;""),ROUNDUP(G441*S441,0),"")</x:f>
      </x:c>
      <x:c r="X441">
        <x:f>IF(OR(V441&lt;&gt;"",W441&lt;&gt;""),V441+W441,"")</x:f>
      </x:c>
      <x:c r="Y441" s="9">
        <x:f>IF(AND(X441&lt;&gt;"",T441&lt;&gt;""),X441/T441,"")</x:f>
      </x:c>
    </x:row>
    <x:row r="442">
      <x:c r="L442" s="7" t="n"/>
      <x:c r="M442" s="7" t="n"/>
      <x:c r="N442" s="7" t="n"/>
      <x:c r="O442">
        <x:f>IF(AND(N442&lt;&gt;"",L442&lt;&gt;""),N442-L442,"")</x:f>
      </x:c>
      <x:c r="P442">
        <x:f>IF(AND(N442&lt;&gt;"",M442&lt;&gt;""),IF(N442&lt;=M442,"Yes","No"),"")</x:f>
      </x:c>
      <x:c r="S442" s="8" t="n"/>
      <x:c r="T442">
        <x:f>IF(AND(G442&lt;&gt;"",S442&lt;&gt;""),ROUNDUP(G442*S442,0),"")</x:f>
      </x:c>
      <x:c r="X442">
        <x:f>IF(OR(V442&lt;&gt;"",W442&lt;&gt;""),V442+W442,"")</x:f>
      </x:c>
      <x:c r="Y442" s="9">
        <x:f>IF(AND(X442&lt;&gt;"",T442&lt;&gt;""),X442/T442,"")</x:f>
      </x:c>
    </x:row>
    <x:row r="443">
      <x:c r="L443" s="7" t="n"/>
      <x:c r="M443" s="7" t="n"/>
      <x:c r="N443" s="7" t="n"/>
      <x:c r="O443">
        <x:f>IF(AND(N443&lt;&gt;"",L443&lt;&gt;""),N443-L443,"")</x:f>
      </x:c>
      <x:c r="P443">
        <x:f>IF(AND(N443&lt;&gt;"",M443&lt;&gt;""),IF(N443&lt;=M443,"Yes","No"),"")</x:f>
      </x:c>
      <x:c r="S443" s="8" t="n"/>
      <x:c r="T443">
        <x:f>IF(AND(G443&lt;&gt;"",S443&lt;&gt;""),ROUNDUP(G443*S443,0),"")</x:f>
      </x:c>
      <x:c r="X443">
        <x:f>IF(OR(V443&lt;&gt;"",W443&lt;&gt;""),V443+W443,"")</x:f>
      </x:c>
      <x:c r="Y443" s="9">
        <x:f>IF(AND(X443&lt;&gt;"",T443&lt;&gt;""),X443/T443,"")</x:f>
      </x:c>
    </x:row>
    <x:row r="444">
      <x:c r="L444" s="7" t="n"/>
      <x:c r="M444" s="7" t="n"/>
      <x:c r="N444" s="7" t="n"/>
      <x:c r="O444">
        <x:f>IF(AND(N444&lt;&gt;"",L444&lt;&gt;""),N444-L444,"")</x:f>
      </x:c>
      <x:c r="P444">
        <x:f>IF(AND(N444&lt;&gt;"",M444&lt;&gt;""),IF(N444&lt;=M444,"Yes","No"),"")</x:f>
      </x:c>
      <x:c r="S444" s="8" t="n"/>
      <x:c r="T444">
        <x:f>IF(AND(G444&lt;&gt;"",S444&lt;&gt;""),ROUNDUP(G444*S444,0),"")</x:f>
      </x:c>
      <x:c r="X444">
        <x:f>IF(OR(V444&lt;&gt;"",W444&lt;&gt;""),V444+W444,"")</x:f>
      </x:c>
      <x:c r="Y444" s="9">
        <x:f>IF(AND(X444&lt;&gt;"",T444&lt;&gt;""),X444/T444,"")</x:f>
      </x:c>
    </x:row>
    <x:row r="445">
      <x:c r="L445" s="7" t="n"/>
      <x:c r="M445" s="7" t="n"/>
      <x:c r="N445" s="7" t="n"/>
      <x:c r="O445">
        <x:f>IF(AND(N445&lt;&gt;"",L445&lt;&gt;""),N445-L445,"")</x:f>
      </x:c>
      <x:c r="P445">
        <x:f>IF(AND(N445&lt;&gt;"",M445&lt;&gt;""),IF(N445&lt;=M445,"Yes","No"),"")</x:f>
      </x:c>
      <x:c r="S445" s="8" t="n"/>
      <x:c r="T445">
        <x:f>IF(AND(G445&lt;&gt;"",S445&lt;&gt;""),ROUNDUP(G445*S445,0),"")</x:f>
      </x:c>
      <x:c r="X445">
        <x:f>IF(OR(V445&lt;&gt;"",W445&lt;&gt;""),V445+W445,"")</x:f>
      </x:c>
      <x:c r="Y445" s="9">
        <x:f>IF(AND(X445&lt;&gt;"",T445&lt;&gt;""),X445/T445,"")</x:f>
      </x:c>
    </x:row>
    <x:row r="446">
      <x:c r="L446" s="7" t="n"/>
      <x:c r="M446" s="7" t="n"/>
      <x:c r="N446" s="7" t="n"/>
      <x:c r="O446">
        <x:f>IF(AND(N446&lt;&gt;"",L446&lt;&gt;""),N446-L446,"")</x:f>
      </x:c>
      <x:c r="P446">
        <x:f>IF(AND(N446&lt;&gt;"",M446&lt;&gt;""),IF(N446&lt;=M446,"Yes","No"),"")</x:f>
      </x:c>
      <x:c r="S446" s="8" t="n"/>
      <x:c r="T446">
        <x:f>IF(AND(G446&lt;&gt;"",S446&lt;&gt;""),ROUNDUP(G446*S446,0),"")</x:f>
      </x:c>
      <x:c r="X446">
        <x:f>IF(OR(V446&lt;&gt;"",W446&lt;&gt;""),V446+W446,"")</x:f>
      </x:c>
      <x:c r="Y446" s="9">
        <x:f>IF(AND(X446&lt;&gt;"",T446&lt;&gt;""),X446/T446,"")</x:f>
      </x:c>
    </x:row>
    <x:row r="447">
      <x:c r="L447" s="7" t="n"/>
      <x:c r="M447" s="7" t="n"/>
      <x:c r="N447" s="7" t="n"/>
      <x:c r="O447">
        <x:f>IF(AND(N447&lt;&gt;"",L447&lt;&gt;""),N447-L447,"")</x:f>
      </x:c>
      <x:c r="P447">
        <x:f>IF(AND(N447&lt;&gt;"",M447&lt;&gt;""),IF(N447&lt;=M447,"Yes","No"),"")</x:f>
      </x:c>
      <x:c r="S447" s="8" t="n"/>
      <x:c r="T447">
        <x:f>IF(AND(G447&lt;&gt;"",S447&lt;&gt;""),ROUNDUP(G447*S447,0),"")</x:f>
      </x:c>
      <x:c r="X447">
        <x:f>IF(OR(V447&lt;&gt;"",W447&lt;&gt;""),V447+W447,"")</x:f>
      </x:c>
      <x:c r="Y447" s="9">
        <x:f>IF(AND(X447&lt;&gt;"",T447&lt;&gt;""),X447/T447,"")</x:f>
      </x:c>
    </x:row>
    <x:row r="448">
      <x:c r="L448" s="7" t="n"/>
      <x:c r="M448" s="7" t="n"/>
      <x:c r="N448" s="7" t="n"/>
      <x:c r="O448">
        <x:f>IF(AND(N448&lt;&gt;"",L448&lt;&gt;""),N448-L448,"")</x:f>
      </x:c>
      <x:c r="P448">
        <x:f>IF(AND(N448&lt;&gt;"",M448&lt;&gt;""),IF(N448&lt;=M448,"Yes","No"),"")</x:f>
      </x:c>
      <x:c r="S448" s="8" t="n"/>
      <x:c r="T448">
        <x:f>IF(AND(G448&lt;&gt;"",S448&lt;&gt;""),ROUNDUP(G448*S448,0),"")</x:f>
      </x:c>
      <x:c r="X448">
        <x:f>IF(OR(V448&lt;&gt;"",W448&lt;&gt;""),V448+W448,"")</x:f>
      </x:c>
      <x:c r="Y448" s="9">
        <x:f>IF(AND(X448&lt;&gt;"",T448&lt;&gt;""),X448/T448,"")</x:f>
      </x:c>
    </x:row>
    <x:row r="449">
      <x:c r="L449" s="7" t="n"/>
      <x:c r="M449" s="7" t="n"/>
      <x:c r="N449" s="7" t="n"/>
      <x:c r="O449">
        <x:f>IF(AND(N449&lt;&gt;"",L449&lt;&gt;""),N449-L449,"")</x:f>
      </x:c>
      <x:c r="P449">
        <x:f>IF(AND(N449&lt;&gt;"",M449&lt;&gt;""),IF(N449&lt;=M449,"Yes","No"),"")</x:f>
      </x:c>
      <x:c r="S449" s="8" t="n"/>
      <x:c r="T449">
        <x:f>IF(AND(G449&lt;&gt;"",S449&lt;&gt;""),ROUNDUP(G449*S449,0),"")</x:f>
      </x:c>
      <x:c r="X449">
        <x:f>IF(OR(V449&lt;&gt;"",W449&lt;&gt;""),V449+W449,"")</x:f>
      </x:c>
      <x:c r="Y449" s="9">
        <x:f>IF(AND(X449&lt;&gt;"",T449&lt;&gt;""),X449/T449,"")</x:f>
      </x:c>
    </x:row>
    <x:row r="450">
      <x:c r="L450" s="7" t="n"/>
      <x:c r="M450" s="7" t="n"/>
      <x:c r="N450" s="7" t="n"/>
      <x:c r="O450">
        <x:f>IF(AND(N450&lt;&gt;"",L450&lt;&gt;""),N450-L450,"")</x:f>
      </x:c>
      <x:c r="P450">
        <x:f>IF(AND(N450&lt;&gt;"",M450&lt;&gt;""),IF(N450&lt;=M450,"Yes","No"),"")</x:f>
      </x:c>
      <x:c r="S450" s="8" t="n"/>
      <x:c r="T450">
        <x:f>IF(AND(G450&lt;&gt;"",S450&lt;&gt;""),ROUNDUP(G450*S450,0),"")</x:f>
      </x:c>
      <x:c r="X450">
        <x:f>IF(OR(V450&lt;&gt;"",W450&lt;&gt;""),V450+W450,"")</x:f>
      </x:c>
      <x:c r="Y450" s="9">
        <x:f>IF(AND(X450&lt;&gt;"",T450&lt;&gt;""),X450/T450,"")</x:f>
      </x:c>
    </x:row>
    <x:row r="451">
      <x:c r="L451" s="7" t="n"/>
      <x:c r="M451" s="7" t="n"/>
      <x:c r="N451" s="7" t="n"/>
      <x:c r="O451">
        <x:f>IF(AND(N451&lt;&gt;"",L451&lt;&gt;""),N451-L451,"")</x:f>
      </x:c>
      <x:c r="P451">
        <x:f>IF(AND(N451&lt;&gt;"",M451&lt;&gt;""),IF(N451&lt;=M451,"Yes","No"),"")</x:f>
      </x:c>
      <x:c r="S451" s="8" t="n"/>
      <x:c r="T451">
        <x:f>IF(AND(G451&lt;&gt;"",S451&lt;&gt;""),ROUNDUP(G451*S451,0),"")</x:f>
      </x:c>
      <x:c r="X451">
        <x:f>IF(OR(V451&lt;&gt;"",W451&lt;&gt;""),V451+W451,"")</x:f>
      </x:c>
      <x:c r="Y451" s="9">
        <x:f>IF(AND(X451&lt;&gt;"",T451&lt;&gt;""),X451/T451,"")</x:f>
      </x:c>
    </x:row>
    <x:row r="452">
      <x:c r="L452" s="7" t="n"/>
      <x:c r="M452" s="7" t="n"/>
      <x:c r="N452" s="7" t="n"/>
      <x:c r="O452">
        <x:f>IF(AND(N452&lt;&gt;"",L452&lt;&gt;""),N452-L452,"")</x:f>
      </x:c>
      <x:c r="P452">
        <x:f>IF(AND(N452&lt;&gt;"",M452&lt;&gt;""),IF(N452&lt;=M452,"Yes","No"),"")</x:f>
      </x:c>
      <x:c r="S452" s="8" t="n"/>
      <x:c r="T452">
        <x:f>IF(AND(G452&lt;&gt;"",S452&lt;&gt;""),ROUNDUP(G452*S452,0),"")</x:f>
      </x:c>
      <x:c r="X452">
        <x:f>IF(OR(V452&lt;&gt;"",W452&lt;&gt;""),V452+W452,"")</x:f>
      </x:c>
      <x:c r="Y452" s="9">
        <x:f>IF(AND(X452&lt;&gt;"",T452&lt;&gt;""),X452/T452,"")</x:f>
      </x:c>
    </x:row>
    <x:row r="453">
      <x:c r="L453" s="7" t="n"/>
      <x:c r="M453" s="7" t="n"/>
      <x:c r="N453" s="7" t="n"/>
      <x:c r="O453">
        <x:f>IF(AND(N453&lt;&gt;"",L453&lt;&gt;""),N453-L453,"")</x:f>
      </x:c>
      <x:c r="P453">
        <x:f>IF(AND(N453&lt;&gt;"",M453&lt;&gt;""),IF(N453&lt;=M453,"Yes","No"),"")</x:f>
      </x:c>
      <x:c r="S453" s="8" t="n"/>
      <x:c r="T453">
        <x:f>IF(AND(G453&lt;&gt;"",S453&lt;&gt;""),ROUNDUP(G453*S453,0),"")</x:f>
      </x:c>
      <x:c r="X453">
        <x:f>IF(OR(V453&lt;&gt;"",W453&lt;&gt;""),V453+W453,"")</x:f>
      </x:c>
      <x:c r="Y453" s="9">
        <x:f>IF(AND(X453&lt;&gt;"",T453&lt;&gt;""),X453/T453,"")</x:f>
      </x:c>
    </x:row>
    <x:row r="454">
      <x:c r="L454" s="7" t="n"/>
      <x:c r="M454" s="7" t="n"/>
      <x:c r="N454" s="7" t="n"/>
      <x:c r="O454">
        <x:f>IF(AND(N454&lt;&gt;"",L454&lt;&gt;""),N454-L454,"")</x:f>
      </x:c>
      <x:c r="P454">
        <x:f>IF(AND(N454&lt;&gt;"",M454&lt;&gt;""),IF(N454&lt;=M454,"Yes","No"),"")</x:f>
      </x:c>
      <x:c r="S454" s="8" t="n"/>
      <x:c r="T454">
        <x:f>IF(AND(G454&lt;&gt;"",S454&lt;&gt;""),ROUNDUP(G454*S454,0),"")</x:f>
      </x:c>
      <x:c r="X454">
        <x:f>IF(OR(V454&lt;&gt;"",W454&lt;&gt;""),V454+W454,"")</x:f>
      </x:c>
      <x:c r="Y454" s="9">
        <x:f>IF(AND(X454&lt;&gt;"",T454&lt;&gt;""),X454/T454,"")</x:f>
      </x:c>
    </x:row>
    <x:row r="455">
      <x:c r="L455" s="7" t="n"/>
      <x:c r="M455" s="7" t="n"/>
      <x:c r="N455" s="7" t="n"/>
      <x:c r="O455">
        <x:f>IF(AND(N455&lt;&gt;"",L455&lt;&gt;""),N455-L455,"")</x:f>
      </x:c>
      <x:c r="P455">
        <x:f>IF(AND(N455&lt;&gt;"",M455&lt;&gt;""),IF(N455&lt;=M455,"Yes","No"),"")</x:f>
      </x:c>
      <x:c r="S455" s="8" t="n"/>
      <x:c r="T455">
        <x:f>IF(AND(G455&lt;&gt;"",S455&lt;&gt;""),ROUNDUP(G455*S455,0),"")</x:f>
      </x:c>
      <x:c r="X455">
        <x:f>IF(OR(V455&lt;&gt;"",W455&lt;&gt;""),V455+W455,"")</x:f>
      </x:c>
      <x:c r="Y455" s="9">
        <x:f>IF(AND(X455&lt;&gt;"",T455&lt;&gt;""),X455/T455,"")</x:f>
      </x:c>
    </x:row>
    <x:row r="456">
      <x:c r="L456" s="7" t="n"/>
      <x:c r="M456" s="7" t="n"/>
      <x:c r="N456" s="7" t="n"/>
      <x:c r="O456">
        <x:f>IF(AND(N456&lt;&gt;"",L456&lt;&gt;""),N456-L456,"")</x:f>
      </x:c>
      <x:c r="P456">
        <x:f>IF(AND(N456&lt;&gt;"",M456&lt;&gt;""),IF(N456&lt;=M456,"Yes","No"),"")</x:f>
      </x:c>
      <x:c r="S456" s="8" t="n"/>
      <x:c r="T456">
        <x:f>IF(AND(G456&lt;&gt;"",S456&lt;&gt;""),ROUNDUP(G456*S456,0),"")</x:f>
      </x:c>
      <x:c r="X456">
        <x:f>IF(OR(V456&lt;&gt;"",W456&lt;&gt;""),V456+W456,"")</x:f>
      </x:c>
      <x:c r="Y456" s="9">
        <x:f>IF(AND(X456&lt;&gt;"",T456&lt;&gt;""),X456/T456,"")</x:f>
      </x:c>
    </x:row>
    <x:row r="457">
      <x:c r="L457" s="7" t="n"/>
      <x:c r="M457" s="7" t="n"/>
      <x:c r="N457" s="7" t="n"/>
      <x:c r="O457">
        <x:f>IF(AND(N457&lt;&gt;"",L457&lt;&gt;""),N457-L457,"")</x:f>
      </x:c>
      <x:c r="P457">
        <x:f>IF(AND(N457&lt;&gt;"",M457&lt;&gt;""),IF(N457&lt;=M457,"Yes","No"),"")</x:f>
      </x:c>
      <x:c r="S457" s="8" t="n"/>
      <x:c r="T457">
        <x:f>IF(AND(G457&lt;&gt;"",S457&lt;&gt;""),ROUNDUP(G457*S457,0),"")</x:f>
      </x:c>
      <x:c r="X457">
        <x:f>IF(OR(V457&lt;&gt;"",W457&lt;&gt;""),V457+W457,"")</x:f>
      </x:c>
      <x:c r="Y457" s="9">
        <x:f>IF(AND(X457&lt;&gt;"",T457&lt;&gt;""),X457/T457,"")</x:f>
      </x:c>
    </x:row>
    <x:row r="458">
      <x:c r="L458" s="7" t="n"/>
      <x:c r="M458" s="7" t="n"/>
      <x:c r="N458" s="7" t="n"/>
      <x:c r="O458">
        <x:f>IF(AND(N458&lt;&gt;"",L458&lt;&gt;""),N458-L458,"")</x:f>
      </x:c>
      <x:c r="P458">
        <x:f>IF(AND(N458&lt;&gt;"",M458&lt;&gt;""),IF(N458&lt;=M458,"Yes","No"),"")</x:f>
      </x:c>
      <x:c r="S458" s="8" t="n"/>
      <x:c r="T458">
        <x:f>IF(AND(G458&lt;&gt;"",S458&lt;&gt;""),ROUNDUP(G458*S458,0),"")</x:f>
      </x:c>
      <x:c r="X458">
        <x:f>IF(OR(V458&lt;&gt;"",W458&lt;&gt;""),V458+W458,"")</x:f>
      </x:c>
      <x:c r="Y458" s="9">
        <x:f>IF(AND(X458&lt;&gt;"",T458&lt;&gt;""),X458/T458,"")</x:f>
      </x:c>
    </x:row>
    <x:row r="459">
      <x:c r="L459" s="7" t="n"/>
      <x:c r="M459" s="7" t="n"/>
      <x:c r="N459" s="7" t="n"/>
      <x:c r="O459">
        <x:f>IF(AND(N459&lt;&gt;"",L459&lt;&gt;""),N459-L459,"")</x:f>
      </x:c>
      <x:c r="P459">
        <x:f>IF(AND(N459&lt;&gt;"",M459&lt;&gt;""),IF(N459&lt;=M459,"Yes","No"),"")</x:f>
      </x:c>
      <x:c r="S459" s="8" t="n"/>
      <x:c r="T459">
        <x:f>IF(AND(G459&lt;&gt;"",S459&lt;&gt;""),ROUNDUP(G459*S459,0),"")</x:f>
      </x:c>
      <x:c r="X459">
        <x:f>IF(OR(V459&lt;&gt;"",W459&lt;&gt;""),V459+W459,"")</x:f>
      </x:c>
      <x:c r="Y459" s="9">
        <x:f>IF(AND(X459&lt;&gt;"",T459&lt;&gt;""),X459/T459,"")</x:f>
      </x:c>
    </x:row>
    <x:row r="460">
      <x:c r="L460" s="7" t="n"/>
      <x:c r="M460" s="7" t="n"/>
      <x:c r="N460" s="7" t="n"/>
      <x:c r="O460">
        <x:f>IF(AND(N460&lt;&gt;"",L460&lt;&gt;""),N460-L460,"")</x:f>
      </x:c>
      <x:c r="P460">
        <x:f>IF(AND(N460&lt;&gt;"",M460&lt;&gt;""),IF(N460&lt;=M460,"Yes","No"),"")</x:f>
      </x:c>
      <x:c r="S460" s="8" t="n"/>
      <x:c r="T460">
        <x:f>IF(AND(G460&lt;&gt;"",S460&lt;&gt;""),ROUNDUP(G460*S460,0),"")</x:f>
      </x:c>
      <x:c r="X460">
        <x:f>IF(OR(V460&lt;&gt;"",W460&lt;&gt;""),V460+W460,"")</x:f>
      </x:c>
      <x:c r="Y460" s="9">
        <x:f>IF(AND(X460&lt;&gt;"",T460&lt;&gt;""),X460/T460,"")</x:f>
      </x:c>
    </x:row>
    <x:row r="461">
      <x:c r="L461" s="7" t="n"/>
      <x:c r="M461" s="7" t="n"/>
      <x:c r="N461" s="7" t="n"/>
      <x:c r="O461">
        <x:f>IF(AND(N461&lt;&gt;"",L461&lt;&gt;""),N461-L461,"")</x:f>
      </x:c>
      <x:c r="P461">
        <x:f>IF(AND(N461&lt;&gt;"",M461&lt;&gt;""),IF(N461&lt;=M461,"Yes","No"),"")</x:f>
      </x:c>
      <x:c r="S461" s="8" t="n"/>
      <x:c r="T461">
        <x:f>IF(AND(G461&lt;&gt;"",S461&lt;&gt;""),ROUNDUP(G461*S461,0),"")</x:f>
      </x:c>
      <x:c r="X461">
        <x:f>IF(OR(V461&lt;&gt;"",W461&lt;&gt;""),V461+W461,"")</x:f>
      </x:c>
      <x:c r="Y461" s="9">
        <x:f>IF(AND(X461&lt;&gt;"",T461&lt;&gt;""),X461/T461,"")</x:f>
      </x:c>
    </x:row>
    <x:row r="462">
      <x:c r="L462" s="7" t="n"/>
      <x:c r="M462" s="7" t="n"/>
      <x:c r="N462" s="7" t="n"/>
      <x:c r="O462">
        <x:f>IF(AND(N462&lt;&gt;"",L462&lt;&gt;""),N462-L462,"")</x:f>
      </x:c>
      <x:c r="P462">
        <x:f>IF(AND(N462&lt;&gt;"",M462&lt;&gt;""),IF(N462&lt;=M462,"Yes","No"),"")</x:f>
      </x:c>
      <x:c r="S462" s="8" t="n"/>
      <x:c r="T462">
        <x:f>IF(AND(G462&lt;&gt;"",S462&lt;&gt;""),ROUNDUP(G462*S462,0),"")</x:f>
      </x:c>
      <x:c r="X462">
        <x:f>IF(OR(V462&lt;&gt;"",W462&lt;&gt;""),V462+W462,"")</x:f>
      </x:c>
      <x:c r="Y462" s="9">
        <x:f>IF(AND(X462&lt;&gt;"",T462&lt;&gt;""),X462/T462,"")</x:f>
      </x:c>
    </x:row>
    <x:row r="463">
      <x:c r="L463" s="7" t="n"/>
      <x:c r="M463" s="7" t="n"/>
      <x:c r="N463" s="7" t="n"/>
      <x:c r="O463">
        <x:f>IF(AND(N463&lt;&gt;"",L463&lt;&gt;""),N463-L463,"")</x:f>
      </x:c>
      <x:c r="P463">
        <x:f>IF(AND(N463&lt;&gt;"",M463&lt;&gt;""),IF(N463&lt;=M463,"Yes","No"),"")</x:f>
      </x:c>
      <x:c r="S463" s="8" t="n"/>
      <x:c r="T463">
        <x:f>IF(AND(G463&lt;&gt;"",S463&lt;&gt;""),ROUNDUP(G463*S463,0),"")</x:f>
      </x:c>
      <x:c r="X463">
        <x:f>IF(OR(V463&lt;&gt;"",W463&lt;&gt;""),V463+W463,"")</x:f>
      </x:c>
      <x:c r="Y463" s="9">
        <x:f>IF(AND(X463&lt;&gt;"",T463&lt;&gt;""),X463/T463,"")</x:f>
      </x:c>
    </x:row>
    <x:row r="464">
      <x:c r="L464" s="7" t="n"/>
      <x:c r="M464" s="7" t="n"/>
      <x:c r="N464" s="7" t="n"/>
      <x:c r="O464">
        <x:f>IF(AND(N464&lt;&gt;"",L464&lt;&gt;""),N464-L464,"")</x:f>
      </x:c>
      <x:c r="P464">
        <x:f>IF(AND(N464&lt;&gt;"",M464&lt;&gt;""),IF(N464&lt;=M464,"Yes","No"),"")</x:f>
      </x:c>
      <x:c r="S464" s="8" t="n"/>
      <x:c r="T464">
        <x:f>IF(AND(G464&lt;&gt;"",S464&lt;&gt;""),ROUNDUP(G464*S464,0),"")</x:f>
      </x:c>
      <x:c r="X464">
        <x:f>IF(OR(V464&lt;&gt;"",W464&lt;&gt;""),V464+W464,"")</x:f>
      </x:c>
      <x:c r="Y464" s="9">
        <x:f>IF(AND(X464&lt;&gt;"",T464&lt;&gt;""),X464/T464,"")</x:f>
      </x:c>
    </x:row>
    <x:row r="465">
      <x:c r="L465" s="7" t="n"/>
      <x:c r="M465" s="7" t="n"/>
      <x:c r="N465" s="7" t="n"/>
      <x:c r="O465">
        <x:f>IF(AND(N465&lt;&gt;"",L465&lt;&gt;""),N465-L465,"")</x:f>
      </x:c>
      <x:c r="P465">
        <x:f>IF(AND(N465&lt;&gt;"",M465&lt;&gt;""),IF(N465&lt;=M465,"Yes","No"),"")</x:f>
      </x:c>
      <x:c r="S465" s="8" t="n"/>
      <x:c r="T465">
        <x:f>IF(AND(G465&lt;&gt;"",S465&lt;&gt;""),ROUNDUP(G465*S465,0),"")</x:f>
      </x:c>
      <x:c r="X465">
        <x:f>IF(OR(V465&lt;&gt;"",W465&lt;&gt;""),V465+W465,"")</x:f>
      </x:c>
      <x:c r="Y465" s="9">
        <x:f>IF(AND(X465&lt;&gt;"",T465&lt;&gt;""),X465/T465,"")</x:f>
      </x:c>
    </x:row>
    <x:row r="466">
      <x:c r="L466" s="7" t="n"/>
      <x:c r="M466" s="7" t="n"/>
      <x:c r="N466" s="7" t="n"/>
      <x:c r="O466">
        <x:f>IF(AND(N466&lt;&gt;"",L466&lt;&gt;""),N466-L466,"")</x:f>
      </x:c>
      <x:c r="P466">
        <x:f>IF(AND(N466&lt;&gt;"",M466&lt;&gt;""),IF(N466&lt;=M466,"Yes","No"),"")</x:f>
      </x:c>
      <x:c r="S466" s="8" t="n"/>
      <x:c r="T466">
        <x:f>IF(AND(G466&lt;&gt;"",S466&lt;&gt;""),ROUNDUP(G466*S466,0),"")</x:f>
      </x:c>
      <x:c r="X466">
        <x:f>IF(OR(V466&lt;&gt;"",W466&lt;&gt;""),V466+W466,"")</x:f>
      </x:c>
      <x:c r="Y466" s="9">
        <x:f>IF(AND(X466&lt;&gt;"",T466&lt;&gt;""),X466/T466,"")</x:f>
      </x:c>
    </x:row>
    <x:row r="467">
      <x:c r="L467" s="7" t="n"/>
      <x:c r="M467" s="7" t="n"/>
      <x:c r="N467" s="7" t="n"/>
      <x:c r="O467">
        <x:f>IF(AND(N467&lt;&gt;"",L467&lt;&gt;""),N467-L467,"")</x:f>
      </x:c>
      <x:c r="P467">
        <x:f>IF(AND(N467&lt;&gt;"",M467&lt;&gt;""),IF(N467&lt;=M467,"Yes","No"),"")</x:f>
      </x:c>
      <x:c r="S467" s="8" t="n"/>
      <x:c r="T467">
        <x:f>IF(AND(G467&lt;&gt;"",S467&lt;&gt;""),ROUNDUP(G467*S467,0),"")</x:f>
      </x:c>
      <x:c r="X467">
        <x:f>IF(OR(V467&lt;&gt;"",W467&lt;&gt;""),V467+W467,"")</x:f>
      </x:c>
      <x:c r="Y467" s="9">
        <x:f>IF(AND(X467&lt;&gt;"",T467&lt;&gt;""),X467/T467,"")</x:f>
      </x:c>
    </x:row>
    <x:row r="468">
      <x:c r="L468" s="7" t="n"/>
      <x:c r="M468" s="7" t="n"/>
      <x:c r="N468" s="7" t="n"/>
      <x:c r="O468">
        <x:f>IF(AND(N468&lt;&gt;"",L468&lt;&gt;""),N468-L468,"")</x:f>
      </x:c>
      <x:c r="P468">
        <x:f>IF(AND(N468&lt;&gt;"",M468&lt;&gt;""),IF(N468&lt;=M468,"Yes","No"),"")</x:f>
      </x:c>
      <x:c r="S468" s="8" t="n"/>
      <x:c r="T468">
        <x:f>IF(AND(G468&lt;&gt;"",S468&lt;&gt;""),ROUNDUP(G468*S468,0),"")</x:f>
      </x:c>
      <x:c r="X468">
        <x:f>IF(OR(V468&lt;&gt;"",W468&lt;&gt;""),V468+W468,"")</x:f>
      </x:c>
      <x:c r="Y468" s="9">
        <x:f>IF(AND(X468&lt;&gt;"",T468&lt;&gt;""),X468/T468,"")</x:f>
      </x:c>
    </x:row>
    <x:row r="469">
      <x:c r="L469" s="7" t="n"/>
      <x:c r="M469" s="7" t="n"/>
      <x:c r="N469" s="7" t="n"/>
      <x:c r="O469">
        <x:f>IF(AND(N469&lt;&gt;"",L469&lt;&gt;""),N469-L469,"")</x:f>
      </x:c>
      <x:c r="P469">
        <x:f>IF(AND(N469&lt;&gt;"",M469&lt;&gt;""),IF(N469&lt;=M469,"Yes","No"),"")</x:f>
      </x:c>
      <x:c r="S469" s="8" t="n"/>
      <x:c r="T469">
        <x:f>IF(AND(G469&lt;&gt;"",S469&lt;&gt;""),ROUNDUP(G469*S469,0),"")</x:f>
      </x:c>
      <x:c r="X469">
        <x:f>IF(OR(V469&lt;&gt;"",W469&lt;&gt;""),V469+W469,"")</x:f>
      </x:c>
      <x:c r="Y469" s="9">
        <x:f>IF(AND(X469&lt;&gt;"",T469&lt;&gt;""),X469/T469,"")</x:f>
      </x:c>
    </x:row>
    <x:row r="470">
      <x:c r="L470" s="7" t="n"/>
      <x:c r="M470" s="7" t="n"/>
      <x:c r="N470" s="7" t="n"/>
      <x:c r="O470">
        <x:f>IF(AND(N470&lt;&gt;"",L470&lt;&gt;""),N470-L470,"")</x:f>
      </x:c>
      <x:c r="P470">
        <x:f>IF(AND(N470&lt;&gt;"",M470&lt;&gt;""),IF(N470&lt;=M470,"Yes","No"),"")</x:f>
      </x:c>
      <x:c r="S470" s="8" t="n"/>
      <x:c r="T470">
        <x:f>IF(AND(G470&lt;&gt;"",S470&lt;&gt;""),ROUNDUP(G470*S470,0),"")</x:f>
      </x:c>
      <x:c r="X470">
        <x:f>IF(OR(V470&lt;&gt;"",W470&lt;&gt;""),V470+W470,"")</x:f>
      </x:c>
      <x:c r="Y470" s="9">
        <x:f>IF(AND(X470&lt;&gt;"",T470&lt;&gt;""),X470/T470,"")</x:f>
      </x:c>
    </x:row>
    <x:row r="471">
      <x:c r="L471" s="7" t="n"/>
      <x:c r="M471" s="7" t="n"/>
      <x:c r="N471" s="7" t="n"/>
      <x:c r="O471">
        <x:f>IF(AND(N471&lt;&gt;"",L471&lt;&gt;""),N471-L471,"")</x:f>
      </x:c>
      <x:c r="P471">
        <x:f>IF(AND(N471&lt;&gt;"",M471&lt;&gt;""),IF(N471&lt;=M471,"Yes","No"),"")</x:f>
      </x:c>
      <x:c r="S471" s="8" t="n"/>
      <x:c r="T471">
        <x:f>IF(AND(G471&lt;&gt;"",S471&lt;&gt;""),ROUNDUP(G471*S471,0),"")</x:f>
      </x:c>
      <x:c r="X471">
        <x:f>IF(OR(V471&lt;&gt;"",W471&lt;&gt;""),V471+W471,"")</x:f>
      </x:c>
      <x:c r="Y471" s="9">
        <x:f>IF(AND(X471&lt;&gt;"",T471&lt;&gt;""),X471/T471,"")</x:f>
      </x:c>
    </x:row>
    <x:row r="472">
      <x:c r="L472" s="7" t="n"/>
      <x:c r="M472" s="7" t="n"/>
      <x:c r="N472" s="7" t="n"/>
      <x:c r="O472">
        <x:f>IF(AND(N472&lt;&gt;"",L472&lt;&gt;""),N472-L472,"")</x:f>
      </x:c>
      <x:c r="P472">
        <x:f>IF(AND(N472&lt;&gt;"",M472&lt;&gt;""),IF(N472&lt;=M472,"Yes","No"),"")</x:f>
      </x:c>
      <x:c r="S472" s="8" t="n"/>
      <x:c r="T472">
        <x:f>IF(AND(G472&lt;&gt;"",S472&lt;&gt;""),ROUNDUP(G472*S472,0),"")</x:f>
      </x:c>
      <x:c r="X472">
        <x:f>IF(OR(V472&lt;&gt;"",W472&lt;&gt;""),V472+W472,"")</x:f>
      </x:c>
      <x:c r="Y472" s="9">
        <x:f>IF(AND(X472&lt;&gt;"",T472&lt;&gt;""),X472/T472,"")</x:f>
      </x:c>
    </x:row>
    <x:row r="473">
      <x:c r="L473" s="7" t="n"/>
      <x:c r="M473" s="7" t="n"/>
      <x:c r="N473" s="7" t="n"/>
      <x:c r="O473">
        <x:f>IF(AND(N473&lt;&gt;"",L473&lt;&gt;""),N473-L473,"")</x:f>
      </x:c>
      <x:c r="P473">
        <x:f>IF(AND(N473&lt;&gt;"",M473&lt;&gt;""),IF(N473&lt;=M473,"Yes","No"),"")</x:f>
      </x:c>
      <x:c r="S473" s="8" t="n"/>
      <x:c r="T473">
        <x:f>IF(AND(G473&lt;&gt;"",S473&lt;&gt;""),ROUNDUP(G473*S473,0),"")</x:f>
      </x:c>
      <x:c r="X473">
        <x:f>IF(OR(V473&lt;&gt;"",W473&lt;&gt;""),V473+W473,"")</x:f>
      </x:c>
      <x:c r="Y473" s="9">
        <x:f>IF(AND(X473&lt;&gt;"",T473&lt;&gt;""),X473/T473,"")</x:f>
      </x:c>
    </x:row>
    <x:row r="474">
      <x:c r="L474" s="7" t="n"/>
      <x:c r="M474" s="7" t="n"/>
      <x:c r="N474" s="7" t="n"/>
      <x:c r="O474">
        <x:f>IF(AND(N474&lt;&gt;"",L474&lt;&gt;""),N474-L474,"")</x:f>
      </x:c>
      <x:c r="P474">
        <x:f>IF(AND(N474&lt;&gt;"",M474&lt;&gt;""),IF(N474&lt;=M474,"Yes","No"),"")</x:f>
      </x:c>
      <x:c r="S474" s="8" t="n"/>
      <x:c r="T474">
        <x:f>IF(AND(G474&lt;&gt;"",S474&lt;&gt;""),ROUNDUP(G474*S474,0),"")</x:f>
      </x:c>
      <x:c r="X474">
        <x:f>IF(OR(V474&lt;&gt;"",W474&lt;&gt;""),V474+W474,"")</x:f>
      </x:c>
      <x:c r="Y474" s="9">
        <x:f>IF(AND(X474&lt;&gt;"",T474&lt;&gt;""),X474/T474,"")</x:f>
      </x:c>
    </x:row>
    <x:row r="475">
      <x:c r="L475" s="7" t="n"/>
      <x:c r="M475" s="7" t="n"/>
      <x:c r="N475" s="7" t="n"/>
      <x:c r="O475">
        <x:f>IF(AND(N475&lt;&gt;"",L475&lt;&gt;""),N475-L475,"")</x:f>
      </x:c>
      <x:c r="P475">
        <x:f>IF(AND(N475&lt;&gt;"",M475&lt;&gt;""),IF(N475&lt;=M475,"Yes","No"),"")</x:f>
      </x:c>
      <x:c r="S475" s="8" t="n"/>
      <x:c r="T475">
        <x:f>IF(AND(G475&lt;&gt;"",S475&lt;&gt;""),ROUNDUP(G475*S475,0),"")</x:f>
      </x:c>
      <x:c r="X475">
        <x:f>IF(OR(V475&lt;&gt;"",W475&lt;&gt;""),V475+W475,"")</x:f>
      </x:c>
      <x:c r="Y475" s="9">
        <x:f>IF(AND(X475&lt;&gt;"",T475&lt;&gt;""),X475/T475,"")</x:f>
      </x:c>
    </x:row>
    <x:row r="476">
      <x:c r="L476" s="7" t="n"/>
      <x:c r="M476" s="7" t="n"/>
      <x:c r="N476" s="7" t="n"/>
      <x:c r="O476">
        <x:f>IF(AND(N476&lt;&gt;"",L476&lt;&gt;""),N476-L476,"")</x:f>
      </x:c>
      <x:c r="P476">
        <x:f>IF(AND(N476&lt;&gt;"",M476&lt;&gt;""),IF(N476&lt;=M476,"Yes","No"),"")</x:f>
      </x:c>
      <x:c r="S476" s="8" t="n"/>
      <x:c r="T476">
        <x:f>IF(AND(G476&lt;&gt;"",S476&lt;&gt;""),ROUNDUP(G476*S476,0),"")</x:f>
      </x:c>
      <x:c r="X476">
        <x:f>IF(OR(V476&lt;&gt;"",W476&lt;&gt;""),V476+W476,"")</x:f>
      </x:c>
      <x:c r="Y476" s="9">
        <x:f>IF(AND(X476&lt;&gt;"",T476&lt;&gt;""),X476/T476,"")</x:f>
      </x:c>
    </x:row>
    <x:row r="477">
      <x:c r="L477" s="7" t="n"/>
      <x:c r="M477" s="7" t="n"/>
      <x:c r="N477" s="7" t="n"/>
      <x:c r="O477">
        <x:f>IF(AND(N477&lt;&gt;"",L477&lt;&gt;""),N477-L477,"")</x:f>
      </x:c>
      <x:c r="P477">
        <x:f>IF(AND(N477&lt;&gt;"",M477&lt;&gt;""),IF(N477&lt;=M477,"Yes","No"),"")</x:f>
      </x:c>
      <x:c r="S477" s="8" t="n"/>
      <x:c r="T477">
        <x:f>IF(AND(G477&lt;&gt;"",S477&lt;&gt;""),ROUNDUP(G477*S477,0),"")</x:f>
      </x:c>
      <x:c r="X477">
        <x:f>IF(OR(V477&lt;&gt;"",W477&lt;&gt;""),V477+W477,"")</x:f>
      </x:c>
      <x:c r="Y477" s="9">
        <x:f>IF(AND(X477&lt;&gt;"",T477&lt;&gt;""),X477/T477,"")</x:f>
      </x:c>
    </x:row>
    <x:row r="478">
      <x:c r="L478" s="7" t="n"/>
      <x:c r="M478" s="7" t="n"/>
      <x:c r="N478" s="7" t="n"/>
      <x:c r="O478">
        <x:f>IF(AND(N478&lt;&gt;"",L478&lt;&gt;""),N478-L478,"")</x:f>
      </x:c>
      <x:c r="P478">
        <x:f>IF(AND(N478&lt;&gt;"",M478&lt;&gt;""),IF(N478&lt;=M478,"Yes","No"),"")</x:f>
      </x:c>
      <x:c r="S478" s="8" t="n"/>
      <x:c r="T478">
        <x:f>IF(AND(G478&lt;&gt;"",S478&lt;&gt;""),ROUNDUP(G478*S478,0),"")</x:f>
      </x:c>
      <x:c r="X478">
        <x:f>IF(OR(V478&lt;&gt;"",W478&lt;&gt;""),V478+W478,"")</x:f>
      </x:c>
      <x:c r="Y478" s="9">
        <x:f>IF(AND(X478&lt;&gt;"",T478&lt;&gt;""),X478/T478,"")</x:f>
      </x:c>
    </x:row>
    <x:row r="479">
      <x:c r="L479" s="7" t="n"/>
      <x:c r="M479" s="7" t="n"/>
      <x:c r="N479" s="7" t="n"/>
      <x:c r="O479">
        <x:f>IF(AND(N479&lt;&gt;"",L479&lt;&gt;""),N479-L479,"")</x:f>
      </x:c>
      <x:c r="P479">
        <x:f>IF(AND(N479&lt;&gt;"",M479&lt;&gt;""),IF(N479&lt;=M479,"Yes","No"),"")</x:f>
      </x:c>
      <x:c r="S479" s="8" t="n"/>
      <x:c r="T479">
        <x:f>IF(AND(G479&lt;&gt;"",S479&lt;&gt;""),ROUNDUP(G479*S479,0),"")</x:f>
      </x:c>
      <x:c r="X479">
        <x:f>IF(OR(V479&lt;&gt;"",W479&lt;&gt;""),V479+W479,"")</x:f>
      </x:c>
      <x:c r="Y479" s="9">
        <x:f>IF(AND(X479&lt;&gt;"",T479&lt;&gt;""),X479/T479,"")</x:f>
      </x:c>
    </x:row>
    <x:row r="480">
      <x:c r="L480" s="7" t="n"/>
      <x:c r="M480" s="7" t="n"/>
      <x:c r="N480" s="7" t="n"/>
      <x:c r="O480">
        <x:f>IF(AND(N480&lt;&gt;"",L480&lt;&gt;""),N480-L480,"")</x:f>
      </x:c>
      <x:c r="P480">
        <x:f>IF(AND(N480&lt;&gt;"",M480&lt;&gt;""),IF(N480&lt;=M480,"Yes","No"),"")</x:f>
      </x:c>
      <x:c r="S480" s="8" t="n"/>
      <x:c r="T480">
        <x:f>IF(AND(G480&lt;&gt;"",S480&lt;&gt;""),ROUNDUP(G480*S480,0),"")</x:f>
      </x:c>
      <x:c r="X480">
        <x:f>IF(OR(V480&lt;&gt;"",W480&lt;&gt;""),V480+W480,"")</x:f>
      </x:c>
      <x:c r="Y480" s="9">
        <x:f>IF(AND(X480&lt;&gt;"",T480&lt;&gt;""),X480/T480,"")</x:f>
      </x:c>
    </x:row>
    <x:row r="481">
      <x:c r="L481" s="7" t="n"/>
      <x:c r="M481" s="7" t="n"/>
      <x:c r="N481" s="7" t="n"/>
      <x:c r="O481">
        <x:f>IF(AND(N481&lt;&gt;"",L481&lt;&gt;""),N481-L481,"")</x:f>
      </x:c>
      <x:c r="P481">
        <x:f>IF(AND(N481&lt;&gt;"",M481&lt;&gt;""),IF(N481&lt;=M481,"Yes","No"),"")</x:f>
      </x:c>
      <x:c r="S481" s="8" t="n"/>
      <x:c r="T481">
        <x:f>IF(AND(G481&lt;&gt;"",S481&lt;&gt;""),ROUNDUP(G481*S481,0),"")</x:f>
      </x:c>
      <x:c r="X481">
        <x:f>IF(OR(V481&lt;&gt;"",W481&lt;&gt;""),V481+W481,"")</x:f>
      </x:c>
      <x:c r="Y481" s="9">
        <x:f>IF(AND(X481&lt;&gt;"",T481&lt;&gt;""),X481/T481,"")</x:f>
      </x:c>
    </x:row>
    <x:row r="482">
      <x:c r="L482" s="7" t="n"/>
      <x:c r="M482" s="7" t="n"/>
      <x:c r="N482" s="7" t="n"/>
      <x:c r="O482">
        <x:f>IF(AND(N482&lt;&gt;"",L482&lt;&gt;""),N482-L482,"")</x:f>
      </x:c>
      <x:c r="P482">
        <x:f>IF(AND(N482&lt;&gt;"",M482&lt;&gt;""),IF(N482&lt;=M482,"Yes","No"),"")</x:f>
      </x:c>
      <x:c r="S482" s="8" t="n"/>
      <x:c r="T482">
        <x:f>IF(AND(G482&lt;&gt;"",S482&lt;&gt;""),ROUNDUP(G482*S482,0),"")</x:f>
      </x:c>
      <x:c r="X482">
        <x:f>IF(OR(V482&lt;&gt;"",W482&lt;&gt;""),V482+W482,"")</x:f>
      </x:c>
      <x:c r="Y482" s="9">
        <x:f>IF(AND(X482&lt;&gt;"",T482&lt;&gt;""),X482/T482,"")</x:f>
      </x:c>
    </x:row>
    <x:row r="483">
      <x:c r="L483" s="7" t="n"/>
      <x:c r="M483" s="7" t="n"/>
      <x:c r="N483" s="7" t="n"/>
      <x:c r="O483">
        <x:f>IF(AND(N483&lt;&gt;"",L483&lt;&gt;""),N483-L483,"")</x:f>
      </x:c>
      <x:c r="P483">
        <x:f>IF(AND(N483&lt;&gt;"",M483&lt;&gt;""),IF(N483&lt;=M483,"Yes","No"),"")</x:f>
      </x:c>
      <x:c r="S483" s="8" t="n"/>
      <x:c r="T483">
        <x:f>IF(AND(G483&lt;&gt;"",S483&lt;&gt;""),ROUNDUP(G483*S483,0),"")</x:f>
      </x:c>
      <x:c r="X483">
        <x:f>IF(OR(V483&lt;&gt;"",W483&lt;&gt;""),V483+W483,"")</x:f>
      </x:c>
      <x:c r="Y483" s="9">
        <x:f>IF(AND(X483&lt;&gt;"",T483&lt;&gt;""),X483/T483,"")</x:f>
      </x:c>
    </x:row>
    <x:row r="484">
      <x:c r="L484" s="7" t="n"/>
      <x:c r="M484" s="7" t="n"/>
      <x:c r="N484" s="7" t="n"/>
      <x:c r="O484">
        <x:f>IF(AND(N484&lt;&gt;"",L484&lt;&gt;""),N484-L484,"")</x:f>
      </x:c>
      <x:c r="P484">
        <x:f>IF(AND(N484&lt;&gt;"",M484&lt;&gt;""),IF(N484&lt;=M484,"Yes","No"),"")</x:f>
      </x:c>
      <x:c r="S484" s="8" t="n"/>
      <x:c r="T484">
        <x:f>IF(AND(G484&lt;&gt;"",S484&lt;&gt;""),ROUNDUP(G484*S484,0),"")</x:f>
      </x:c>
      <x:c r="X484">
        <x:f>IF(OR(V484&lt;&gt;"",W484&lt;&gt;""),V484+W484,"")</x:f>
      </x:c>
      <x:c r="Y484" s="9">
        <x:f>IF(AND(X484&lt;&gt;"",T484&lt;&gt;""),X484/T484,"")</x:f>
      </x:c>
    </x:row>
    <x:row r="485">
      <x:c r="L485" s="7" t="n"/>
      <x:c r="M485" s="7" t="n"/>
      <x:c r="N485" s="7" t="n"/>
      <x:c r="O485">
        <x:f>IF(AND(N485&lt;&gt;"",L485&lt;&gt;""),N485-L485,"")</x:f>
      </x:c>
      <x:c r="P485">
        <x:f>IF(AND(N485&lt;&gt;"",M485&lt;&gt;""),IF(N485&lt;=M485,"Yes","No"),"")</x:f>
      </x:c>
      <x:c r="S485" s="8" t="n"/>
      <x:c r="T485">
        <x:f>IF(AND(G485&lt;&gt;"",S485&lt;&gt;""),ROUNDUP(G485*S485,0),"")</x:f>
      </x:c>
      <x:c r="X485">
        <x:f>IF(OR(V485&lt;&gt;"",W485&lt;&gt;""),V485+W485,"")</x:f>
      </x:c>
      <x:c r="Y485" s="9">
        <x:f>IF(AND(X485&lt;&gt;"",T485&lt;&gt;""),X485/T485,"")</x:f>
      </x:c>
    </x:row>
    <x:row r="486">
      <x:c r="L486" s="7" t="n"/>
      <x:c r="M486" s="7" t="n"/>
      <x:c r="N486" s="7" t="n"/>
      <x:c r="O486">
        <x:f>IF(AND(N486&lt;&gt;"",L486&lt;&gt;""),N486-L486,"")</x:f>
      </x:c>
      <x:c r="P486">
        <x:f>IF(AND(N486&lt;&gt;"",M486&lt;&gt;""),IF(N486&lt;=M486,"Yes","No"),"")</x:f>
      </x:c>
      <x:c r="S486" s="8" t="n"/>
      <x:c r="T486">
        <x:f>IF(AND(G486&lt;&gt;"",S486&lt;&gt;""),ROUNDUP(G486*S486,0),"")</x:f>
      </x:c>
      <x:c r="X486">
        <x:f>IF(OR(V486&lt;&gt;"",W486&lt;&gt;""),V486+W486,"")</x:f>
      </x:c>
      <x:c r="Y486" s="9">
        <x:f>IF(AND(X486&lt;&gt;"",T486&lt;&gt;""),X486/T486,"")</x:f>
      </x:c>
    </x:row>
    <x:row r="487">
      <x:c r="L487" s="7" t="n"/>
      <x:c r="M487" s="7" t="n"/>
      <x:c r="N487" s="7" t="n"/>
      <x:c r="O487">
        <x:f>IF(AND(N487&lt;&gt;"",L487&lt;&gt;""),N487-L487,"")</x:f>
      </x:c>
      <x:c r="P487">
        <x:f>IF(AND(N487&lt;&gt;"",M487&lt;&gt;""),IF(N487&lt;=M487,"Yes","No"),"")</x:f>
      </x:c>
      <x:c r="S487" s="8" t="n"/>
      <x:c r="T487">
        <x:f>IF(AND(G487&lt;&gt;"",S487&lt;&gt;""),ROUNDUP(G487*S487,0),"")</x:f>
      </x:c>
      <x:c r="X487">
        <x:f>IF(OR(V487&lt;&gt;"",W487&lt;&gt;""),V487+W487,"")</x:f>
      </x:c>
      <x:c r="Y487" s="9">
        <x:f>IF(AND(X487&lt;&gt;"",T487&lt;&gt;""),X487/T487,"")</x:f>
      </x:c>
    </x:row>
    <x:row r="488">
      <x:c r="L488" s="7" t="n"/>
      <x:c r="M488" s="7" t="n"/>
      <x:c r="N488" s="7" t="n"/>
      <x:c r="O488">
        <x:f>IF(AND(N488&lt;&gt;"",L488&lt;&gt;""),N488-L488,"")</x:f>
      </x:c>
      <x:c r="P488">
        <x:f>IF(AND(N488&lt;&gt;"",M488&lt;&gt;""),IF(N488&lt;=M488,"Yes","No"),"")</x:f>
      </x:c>
      <x:c r="S488" s="8" t="n"/>
      <x:c r="T488">
        <x:f>IF(AND(G488&lt;&gt;"",S488&lt;&gt;""),ROUNDUP(G488*S488,0),"")</x:f>
      </x:c>
      <x:c r="X488">
        <x:f>IF(OR(V488&lt;&gt;"",W488&lt;&gt;""),V488+W488,"")</x:f>
      </x:c>
      <x:c r="Y488" s="9">
        <x:f>IF(AND(X488&lt;&gt;"",T488&lt;&gt;""),X488/T488,"")</x:f>
      </x:c>
    </x:row>
    <x:row r="489">
      <x:c r="L489" s="7" t="n"/>
      <x:c r="M489" s="7" t="n"/>
      <x:c r="N489" s="7" t="n"/>
      <x:c r="O489">
        <x:f>IF(AND(N489&lt;&gt;"",L489&lt;&gt;""),N489-L489,"")</x:f>
      </x:c>
      <x:c r="P489">
        <x:f>IF(AND(N489&lt;&gt;"",M489&lt;&gt;""),IF(N489&lt;=M489,"Yes","No"),"")</x:f>
      </x:c>
      <x:c r="S489" s="8" t="n"/>
      <x:c r="T489">
        <x:f>IF(AND(G489&lt;&gt;"",S489&lt;&gt;""),ROUNDUP(G489*S489,0),"")</x:f>
      </x:c>
      <x:c r="X489">
        <x:f>IF(OR(V489&lt;&gt;"",W489&lt;&gt;""),V489+W489,"")</x:f>
      </x:c>
      <x:c r="Y489" s="9">
        <x:f>IF(AND(X489&lt;&gt;"",T489&lt;&gt;""),X489/T489,"")</x:f>
      </x:c>
    </x:row>
    <x:row r="490">
      <x:c r="L490" s="7" t="n"/>
      <x:c r="M490" s="7" t="n"/>
      <x:c r="N490" s="7" t="n"/>
      <x:c r="O490">
        <x:f>IF(AND(N490&lt;&gt;"",L490&lt;&gt;""),N490-L490,"")</x:f>
      </x:c>
      <x:c r="P490">
        <x:f>IF(AND(N490&lt;&gt;"",M490&lt;&gt;""),IF(N490&lt;=M490,"Yes","No"),"")</x:f>
      </x:c>
      <x:c r="S490" s="8" t="n"/>
      <x:c r="T490">
        <x:f>IF(AND(G490&lt;&gt;"",S490&lt;&gt;""),ROUNDUP(G490*S490,0),"")</x:f>
      </x:c>
      <x:c r="X490">
        <x:f>IF(OR(V490&lt;&gt;"",W490&lt;&gt;""),V490+W490,"")</x:f>
      </x:c>
      <x:c r="Y490" s="9">
        <x:f>IF(AND(X490&lt;&gt;"",T490&lt;&gt;""),X490/T490,"")</x:f>
      </x:c>
    </x:row>
    <x:row r="491">
      <x:c r="L491" s="7" t="n"/>
      <x:c r="M491" s="7" t="n"/>
      <x:c r="N491" s="7" t="n"/>
      <x:c r="O491">
        <x:f>IF(AND(N491&lt;&gt;"",L491&lt;&gt;""),N491-L491,"")</x:f>
      </x:c>
      <x:c r="P491">
        <x:f>IF(AND(N491&lt;&gt;"",M491&lt;&gt;""),IF(N491&lt;=M491,"Yes","No"),"")</x:f>
      </x:c>
      <x:c r="S491" s="8" t="n"/>
      <x:c r="T491">
        <x:f>IF(AND(G491&lt;&gt;"",S491&lt;&gt;""),ROUNDUP(G491*S491,0),"")</x:f>
      </x:c>
      <x:c r="X491">
        <x:f>IF(OR(V491&lt;&gt;"",W491&lt;&gt;""),V491+W491,"")</x:f>
      </x:c>
      <x:c r="Y491" s="9">
        <x:f>IF(AND(X491&lt;&gt;"",T491&lt;&gt;""),X491/T491,"")</x:f>
      </x:c>
    </x:row>
    <x:row r="492">
      <x:c r="L492" s="7" t="n"/>
      <x:c r="M492" s="7" t="n"/>
      <x:c r="N492" s="7" t="n"/>
      <x:c r="O492">
        <x:f>IF(AND(N492&lt;&gt;"",L492&lt;&gt;""),N492-L492,"")</x:f>
      </x:c>
      <x:c r="P492">
        <x:f>IF(AND(N492&lt;&gt;"",M492&lt;&gt;""),IF(N492&lt;=M492,"Yes","No"),"")</x:f>
      </x:c>
      <x:c r="S492" s="8" t="n"/>
      <x:c r="T492">
        <x:f>IF(AND(G492&lt;&gt;"",S492&lt;&gt;""),ROUNDUP(G492*S492,0),"")</x:f>
      </x:c>
      <x:c r="X492">
        <x:f>IF(OR(V492&lt;&gt;"",W492&lt;&gt;""),V492+W492,"")</x:f>
      </x:c>
      <x:c r="Y492" s="9">
        <x:f>IF(AND(X492&lt;&gt;"",T492&lt;&gt;""),X492/T492,"")</x:f>
      </x:c>
    </x:row>
    <x:row r="493">
      <x:c r="L493" s="7" t="n"/>
      <x:c r="M493" s="7" t="n"/>
      <x:c r="N493" s="7" t="n"/>
      <x:c r="O493">
        <x:f>IF(AND(N493&lt;&gt;"",L493&lt;&gt;""),N493-L493,"")</x:f>
      </x:c>
      <x:c r="P493">
        <x:f>IF(AND(N493&lt;&gt;"",M493&lt;&gt;""),IF(N493&lt;=M493,"Yes","No"),"")</x:f>
      </x:c>
      <x:c r="S493" s="8" t="n"/>
      <x:c r="T493">
        <x:f>IF(AND(G493&lt;&gt;"",S493&lt;&gt;""),ROUNDUP(G493*S493,0),"")</x:f>
      </x:c>
      <x:c r="X493">
        <x:f>IF(OR(V493&lt;&gt;"",W493&lt;&gt;""),V493+W493,"")</x:f>
      </x:c>
      <x:c r="Y493" s="9">
        <x:f>IF(AND(X493&lt;&gt;"",T493&lt;&gt;""),X493/T493,"")</x:f>
      </x:c>
    </x:row>
    <x:row r="494">
      <x:c r="L494" s="7" t="n"/>
      <x:c r="M494" s="7" t="n"/>
      <x:c r="N494" s="7" t="n"/>
      <x:c r="O494">
        <x:f>IF(AND(N494&lt;&gt;"",L494&lt;&gt;""),N494-L494,"")</x:f>
      </x:c>
      <x:c r="P494">
        <x:f>IF(AND(N494&lt;&gt;"",M494&lt;&gt;""),IF(N494&lt;=M494,"Yes","No"),"")</x:f>
      </x:c>
      <x:c r="S494" s="8" t="n"/>
      <x:c r="T494">
        <x:f>IF(AND(G494&lt;&gt;"",S494&lt;&gt;""),ROUNDUP(G494*S494,0),"")</x:f>
      </x:c>
      <x:c r="X494">
        <x:f>IF(OR(V494&lt;&gt;"",W494&lt;&gt;""),V494+W494,"")</x:f>
      </x:c>
      <x:c r="Y494" s="9">
        <x:f>IF(AND(X494&lt;&gt;"",T494&lt;&gt;""),X494/T494,"")</x:f>
      </x:c>
    </x:row>
    <x:row r="495">
      <x:c r="L495" s="7" t="n"/>
      <x:c r="M495" s="7" t="n"/>
      <x:c r="N495" s="7" t="n"/>
      <x:c r="O495">
        <x:f>IF(AND(N495&lt;&gt;"",L495&lt;&gt;""),N495-L495,"")</x:f>
      </x:c>
      <x:c r="P495">
        <x:f>IF(AND(N495&lt;&gt;"",M495&lt;&gt;""),IF(N495&lt;=M495,"Yes","No"),"")</x:f>
      </x:c>
      <x:c r="S495" s="8" t="n"/>
      <x:c r="T495">
        <x:f>IF(AND(G495&lt;&gt;"",S495&lt;&gt;""),ROUNDUP(G495*S495,0),"")</x:f>
      </x:c>
      <x:c r="X495">
        <x:f>IF(OR(V495&lt;&gt;"",W495&lt;&gt;""),V495+W495,"")</x:f>
      </x:c>
      <x:c r="Y495" s="9">
        <x:f>IF(AND(X495&lt;&gt;"",T495&lt;&gt;""),X495/T495,"")</x:f>
      </x:c>
    </x:row>
    <x:row r="496">
      <x:c r="L496" s="7" t="n"/>
      <x:c r="M496" s="7" t="n"/>
      <x:c r="N496" s="7" t="n"/>
      <x:c r="O496">
        <x:f>IF(AND(N496&lt;&gt;"",L496&lt;&gt;""),N496-L496,"")</x:f>
      </x:c>
      <x:c r="P496">
        <x:f>IF(AND(N496&lt;&gt;"",M496&lt;&gt;""),IF(N496&lt;=M496,"Yes","No"),"")</x:f>
      </x:c>
      <x:c r="S496" s="8" t="n"/>
      <x:c r="T496">
        <x:f>IF(AND(G496&lt;&gt;"",S496&lt;&gt;""),ROUNDUP(G496*S496,0),"")</x:f>
      </x:c>
      <x:c r="X496">
        <x:f>IF(OR(V496&lt;&gt;"",W496&lt;&gt;""),V496+W496,"")</x:f>
      </x:c>
      <x:c r="Y496" s="9">
        <x:f>IF(AND(X496&lt;&gt;"",T496&lt;&gt;""),X496/T496,"")</x:f>
      </x:c>
    </x:row>
    <x:row r="497">
      <x:c r="L497" s="7" t="n"/>
      <x:c r="M497" s="7" t="n"/>
      <x:c r="N497" s="7" t="n"/>
      <x:c r="O497">
        <x:f>IF(AND(N497&lt;&gt;"",L497&lt;&gt;""),N497-L497,"")</x:f>
      </x:c>
      <x:c r="P497">
        <x:f>IF(AND(N497&lt;&gt;"",M497&lt;&gt;""),IF(N497&lt;=M497,"Yes","No"),"")</x:f>
      </x:c>
      <x:c r="S497" s="8" t="n"/>
      <x:c r="T497">
        <x:f>IF(AND(G497&lt;&gt;"",S497&lt;&gt;""),ROUNDUP(G497*S497,0),"")</x:f>
      </x:c>
      <x:c r="X497">
        <x:f>IF(OR(V497&lt;&gt;"",W497&lt;&gt;""),V497+W497,"")</x:f>
      </x:c>
      <x:c r="Y497" s="9">
        <x:f>IF(AND(X497&lt;&gt;"",T497&lt;&gt;""),X497/T497,"")</x:f>
      </x:c>
    </x:row>
    <x:row r="498">
      <x:c r="L498" s="7" t="n"/>
      <x:c r="M498" s="7" t="n"/>
      <x:c r="N498" s="7" t="n"/>
      <x:c r="O498">
        <x:f>IF(AND(N498&lt;&gt;"",L498&lt;&gt;""),N498-L498,"")</x:f>
      </x:c>
      <x:c r="P498">
        <x:f>IF(AND(N498&lt;&gt;"",M498&lt;&gt;""),IF(N498&lt;=M498,"Yes","No"),"")</x:f>
      </x:c>
      <x:c r="S498" s="8" t="n"/>
      <x:c r="T498">
        <x:f>IF(AND(G498&lt;&gt;"",S498&lt;&gt;""),ROUNDUP(G498*S498,0),"")</x:f>
      </x:c>
      <x:c r="X498">
        <x:f>IF(OR(V498&lt;&gt;"",W498&lt;&gt;""),V498+W498,"")</x:f>
      </x:c>
      <x:c r="Y498" s="9">
        <x:f>IF(AND(X498&lt;&gt;"",T498&lt;&gt;""),X498/T498,"")</x:f>
      </x:c>
    </x:row>
    <x:row r="499">
      <x:c r="L499" s="7" t="n"/>
      <x:c r="M499" s="7" t="n"/>
      <x:c r="N499" s="7" t="n"/>
      <x:c r="O499">
        <x:f>IF(AND(N499&lt;&gt;"",L499&lt;&gt;""),N499-L499,"")</x:f>
      </x:c>
      <x:c r="P499">
        <x:f>IF(AND(N499&lt;&gt;"",M499&lt;&gt;""),IF(N499&lt;=M499,"Yes","No"),"")</x:f>
      </x:c>
      <x:c r="S499" s="8" t="n"/>
      <x:c r="T499">
        <x:f>IF(AND(G499&lt;&gt;"",S499&lt;&gt;""),ROUNDUP(G499*S499,0),"")</x:f>
      </x:c>
      <x:c r="X499">
        <x:f>IF(OR(V499&lt;&gt;"",W499&lt;&gt;""),V499+W499,"")</x:f>
      </x:c>
      <x:c r="Y499" s="9">
        <x:f>IF(AND(X499&lt;&gt;"",T499&lt;&gt;""),X499/T499,"")</x:f>
      </x:c>
    </x:row>
    <x:row r="500">
      <x:c r="L500" s="7" t="n"/>
      <x:c r="M500" s="7" t="n"/>
      <x:c r="N500" s="7" t="n"/>
      <x:c r="O500">
        <x:f>IF(AND(N500&lt;&gt;"",L500&lt;&gt;""),N500-L500,"")</x:f>
      </x:c>
      <x:c r="P500">
        <x:f>IF(AND(N500&lt;&gt;"",M500&lt;&gt;""),IF(N500&lt;=M500,"Yes","No"),"")</x:f>
      </x:c>
      <x:c r="S500" s="8" t="n"/>
      <x:c r="T500">
        <x:f>IF(AND(G500&lt;&gt;"",S500&lt;&gt;""),ROUNDUP(G500*S500,0),"")</x:f>
      </x:c>
      <x:c r="X500">
        <x:f>IF(OR(V500&lt;&gt;"",W500&lt;&gt;""),V500+W500,"")</x:f>
      </x:c>
      <x:c r="Y500" s="9">
        <x:f>IF(AND(X500&lt;&gt;"",T500&lt;&gt;""),X500/T500,"")</x:f>
      </x:c>
    </x:row>
  </x:sheetData>
  <x:conditionalFormatting sqref="A2:AB500">
    <x:cfRule type="expression" dxfId="0" priority="1">
      <x:formula>AND($M2&lt;TODAY(),$N2="", $I2&lt;&gt;"Closed")</x:formula>
    </x:cfRule>
    <x:cfRule type="expression" dxfId="1" priority="2">
      <x:formula>$Q2="High"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>
      <x:c r="A1" s="10" t="inlineStr">
        <x:is>
          <x:t xml:space="preserve">Status</x:t>
        </x:is>
      </x:c>
      <x:c r="B1" s="10" t="inlineStr">
        <x:is>
          <x:t xml:space="preserve">Priority</x:t>
        </x:is>
      </x:c>
      <x:c r="C1" s="10" t="inlineStr">
        <x:is>
          <x:t xml:space="preserve">Risk_Level</x:t>
        </x:is>
      </x:c>
      <x:c r="D1" s="10" t="inlineStr">
        <x:is>
          <x:t xml:space="preserve">QC_Status</x:t>
        </x:is>
      </x:c>
      <x:c r="E1" s="10" t="inlineStr">
        <x:is>
          <x:t xml:space="preserve">Yes_No</x:t>
        </x:is>
      </x:c>
      <x:c r="F1" s="10" t="inlineStr">
        <x:is>
          <x:t xml:space="preserve">Content_Type</x:t>
        </x:is>
      </x:c>
      <x:c r="G1" s="10" t="inlineStr">
        <x:is>
          <x:t xml:space="preserve">Locales</x:t>
        </x:is>
      </x:c>
    </x:row>
    <x:row r="2">
      <x:c r="A2" t="inlineStr">
        <x:is>
          <x:t xml:space="preserve">Backlog</x:t>
        </x:is>
      </x:c>
      <x:c r="B2" t="inlineStr">
        <x:is>
          <x:t xml:space="preserve">High</x:t>
        </x:is>
      </x:c>
      <x:c r="C2" t="inlineStr">
        <x:is>
          <x:t xml:space="preserve">High</x:t>
        </x:is>
      </x:c>
      <x:c r="D2" t="inlineStr">
        <x:is>
          <x:t xml:space="preserve">Not Started</x:t>
        </x:is>
      </x:c>
      <x:c r="E2" t="inlineStr">
        <x:is>
          <x:t xml:space="preserve">Yes</x:t>
        </x:is>
      </x:c>
      <x:c r="F2" t="inlineStr">
        <x:is>
          <x:t xml:space="preserve">Image Translation</x:t>
        </x:is>
      </x:c>
      <x:c r="G2" t="inlineStr">
        <x:is>
          <x:t xml:space="preserve">EN</x:t>
        </x:is>
      </x:c>
    </x:row>
    <x:row r="3">
      <x:c r="A3" t="inlineStr">
        <x:is>
          <x:t xml:space="preserve">In Progress</x:t>
        </x:is>
      </x:c>
      <x:c r="B3" t="inlineStr">
        <x:is>
          <x:t xml:space="preserve">Medium</x:t>
        </x:is>
      </x:c>
      <x:c r="C3" t="inlineStr">
        <x:is>
          <x:t xml:space="preserve">Medium</x:t>
        </x:is>
      </x:c>
      <x:c r="D3" t="inlineStr">
        <x:is>
          <x:t xml:space="preserve">Pass</x:t>
        </x:is>
      </x:c>
      <x:c r="E3" t="inlineStr">
        <x:is>
          <x:t xml:space="preserve">No</x:t>
        </x:is>
      </x:c>
      <x:c r="F3" t="inlineStr">
        <x:is>
          <x:t xml:space="preserve">Place Translation</x:t>
        </x:is>
      </x:c>
      <x:c r="G3" t="inlineStr">
        <x:is>
          <x:t xml:space="preserve">KO</x:t>
        </x:is>
      </x:c>
    </x:row>
    <x:row r="4">
      <x:c r="A4" t="inlineStr">
        <x:is>
          <x:t xml:space="preserve">In QC</x:t>
        </x:is>
      </x:c>
      <x:c r="B4" t="inlineStr">
        <x:is>
          <x:t xml:space="preserve">Low</x:t>
        </x:is>
      </x:c>
      <x:c r="C4" t="inlineStr">
        <x:is>
          <x:t xml:space="preserve">Low</x:t>
        </x:is>
      </x:c>
      <x:c r="D4" t="inlineStr">
        <x:is>
          <x:t xml:space="preserve">Fail</x:t>
        </x:is>
      </x:c>
      <x:c r="F4" t="inlineStr">
        <x:is>
          <x:t xml:space="preserve">Spatial Translation</x:t>
        </x:is>
      </x:c>
      <x:c r="G4" t="inlineStr">
        <x:is>
          <x:t xml:space="preserve">ZH</x:t>
        </x:is>
      </x:c>
    </x:row>
    <x:row r="5">
      <x:c r="A5" t="inlineStr">
        <x:is>
          <x:t xml:space="preserve">Blocked</x:t>
        </x:is>
      </x:c>
      <x:c r="D5" t="inlineStr">
        <x:is>
          <x:t xml:space="preserve">Needs Rework</x:t>
        </x:is>
      </x:c>
      <x:c r="G5" t="inlineStr">
        <x:is>
          <x:t xml:space="preserve">JA</x:t>
        </x:is>
      </x:c>
    </x:row>
    <x:row r="6">
      <x:c r="A6" t="inlineStr">
        <x:is>
          <x:t xml:space="preserve">Delivered</x:t>
        </x:is>
      </x:c>
      <x:c r="G6" t="inlineStr">
        <x:is>
          <x:t xml:space="preserve">FR</x:t>
        </x:is>
      </x:c>
    </x:row>
    <x:row r="7">
      <x:c r="A7" t="inlineStr">
        <x:is>
          <x:t xml:space="preserve">Closed</x:t>
        </x:is>
      </x:c>
      <x:c r="G7" t="inlineStr">
        <x:is>
          <x:t xml:space="preserve">DE</x:t>
        </x:is>
      </x:c>
    </x:row>
    <x:row r="8">
      <x:c r="G8" t="inlineStr">
        <x:is>
          <x:t xml:space="preserve">ES</x:t>
        </x:is>
      </x:c>
    </x:row>
    <x:row r="9">
      <x:c r="G9" t="inlineStr">
        <x:is>
          <x:t xml:space="preserve">VI</x:t>
        </x:is>
      </x:c>
    </x:row>
    <x:row r="10">
      <x:c r="G10" t="inlineStr">
        <x:is>
          <x:t xml:space="preserve">TH</x:t>
        </x:is>
      </x:c>
    </x:row>
    <x:row r="11">
      <x:c r="G11" t="inlineStr">
        <x:is>
          <x:t xml:space="preserve">ID</x:t>
        </x:is>
      </x:c>
    </x:row>
    <x:row r="12">
      <x:c r="G12" t="inlineStr">
        <x:is>
          <x:t xml:space="preserve">PT</x:t>
        </x:is>
      </x:c>
    </x:row>
    <x:row r="13">
      <x:c r="G13" t="inlineStr">
        <x:is>
          <x:t xml:space="preserve">RU</x:t>
        </x:is>
      </x:c>
    </x:row>
    <x:row r="14">
      <x:c r="G14" t="inlineStr">
        <x:is>
          <x:t xml:space="preserve">AR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18" customWidth="1"/>
    <x:col min="3" max="3" width="22" customWidth="1"/>
    <x:col min="4" max="4" width="18" customWidth="1"/>
  </x:cols>
  <x:sheetData>
    <x:row r="1">
      <x:c r="A1" s="11" t="inlineStr">
        <x:is>
          <x:t xml:space="preserve">Project Tracker Dashboard</x:t>
        </x:is>
      </x:c>
    </x:row>
    <x:row r="3">
      <x:c r="A3" s="12" t="inlineStr">
        <x:is>
          <x:t xml:space="preserve">KPI</x:t>
        </x:is>
      </x:c>
      <x:c r="B3" s="12" t="inlineStr">
        <x:is>
          <x:t xml:space="preserve">Value</x:t>
        </x:is>
      </x:c>
    </x:row>
    <x:row r="4">
      <x:c r="A4" s="13" t="inlineStr">
        <x:is>
          <x:t xml:space="preserve">Total tasks</x:t>
        </x:is>
      </x:c>
      <x:c r="B4" s="14">
        <x:f>COUNTA(Tracker!$A$2:$A$500)</x:f>
        <x:v>3</x:v>
      </x:c>
    </x:row>
    <x:row r="5">
      <x:c r="A5" s="13" t="inlineStr">
        <x:is>
          <x:t xml:space="preserve">Delivered items (Delivered Date filled)</x:t>
        </x:is>
      </x:c>
      <x:c r="B5" s="14">
        <x:f>COUNTIFS(Tracker!$N$2:$N$500,"&lt;&gt;")</x:f>
        <x:v>1</x:v>
      </x:c>
    </x:row>
    <x:row r="6">
      <x:c r="A6" s="13" t="inlineStr">
        <x:is>
          <x:t xml:space="preserve">On-time delivery rate</x:t>
        </x:is>
      </x:c>
      <x:c r="B6" s="6">
        <x:f>IFERROR(COUNTIFS(Tracker!$P$2:$P$500,"Yes")/COUNTIFS(Tracker!$N$2:$N$500,"&lt;&gt;"),"")</x:f>
        <x:v>1</x:v>
      </x:c>
    </x:row>
    <x:row r="7">
      <x:c r="A7" s="13" t="inlineStr">
        <x:is>
          <x:t xml:space="preserve">Avg cycle time (days)</x:t>
        </x:is>
      </x:c>
      <x:c r="B7" s="15">
        <x:f>IFERROR(AVERAGEIF(Tracker!$O$2:$O$500,"&gt;0"),"")</x:f>
      </x:c>
    </x:row>
    <x:row r="8">
      <x:c r="A8" s="13" t="inlineStr">
        <x:is>
          <x:t xml:space="preserve">Major defect rate (sampled)</x:t>
        </x:is>
      </x:c>
      <x:c r="B8" s="6">
        <x:f>IFERROR(SUM(Tracker!$V$2:$V$500)/SUM(Tracker!$T$2:$T$500),"")</x:f>
        <x:v>0.008695652173913044</x:v>
      </x:c>
    </x:row>
    <x:row r="9">
      <x:c r="A9" s="13" t="inlineStr">
        <x:is>
          <x:t xml:space="preserve">Total defect rate (sampled)</x:t>
        </x:is>
      </x:c>
      <x:c r="B9" s="6">
        <x:f>IFERROR(SUM(Tracker!$X$2:$X$500)/SUM(Tracker!$T$2:$T$500),"")</x:f>
        <x:v>0.043478260869565216</x:v>
      </x:c>
    </x:row>
    <x:row r="12">
      <x:c r="A12" s="16" t="inlineStr">
        <x:is>
          <x:t xml:space="preserve">Summary by Status</x:t>
        </x:is>
      </x:c>
      <x:c r="C12" s="16" t="inlineStr">
        <x:is>
          <x:t xml:space="preserve">Summary by Owner (fill names)</x:t>
        </x:is>
      </x:c>
    </x:row>
    <x:row r="13">
      <x:c r="A13" s="17" t="inlineStr">
        <x:is>
          <x:t xml:space="preserve">Status</x:t>
        </x:is>
      </x:c>
      <x:c r="B13" s="17" t="inlineStr">
        <x:is>
          <x:t xml:space="preserve">Count</x:t>
        </x:is>
      </x:c>
      <x:c r="C13" s="17" t="inlineStr">
        <x:is>
          <x:t xml:space="preserve">Owner</x:t>
        </x:is>
      </x:c>
      <x:c r="D13" s="17" t="inlineStr">
        <x:is>
          <x:t xml:space="preserve">Open Items</x:t>
        </x:is>
      </x:c>
    </x:row>
    <x:row r="14">
      <x:c r="A14" s="18" t="inlineStr">
        <x:is>
          <x:t xml:space="preserve">Backlog</x:t>
        </x:is>
      </x:c>
      <x:c r="B14" s="19">
        <x:f>COUNTIF(Tracker!$I$2:$I$500,"Backlog")</x:f>
        <x:v>0</x:v>
      </x:c>
      <x:c r="C14" s="20" t="inlineStr">
        <x:is>
          <x:t xml:space="preserve"/>
        </x:is>
      </x:c>
      <x:c r="D14" s="19">
        <x:f>IF($C14="","",COUNTIFS(Tracker!$J$2:$J$500,$C14,Tracker!$I$2:$I$500,"&lt;&gt;Delivered",Tracker!$I$2:$I$500,"&lt;&gt;Closed"))</x:f>
      </x:c>
    </x:row>
    <x:row r="15">
      <x:c r="A15" s="18" t="inlineStr">
        <x:is>
          <x:t xml:space="preserve">In Progress</x:t>
        </x:is>
      </x:c>
      <x:c r="B15" s="19">
        <x:f>COUNTIF(Tracker!$I$2:$I$500,"In Progress")</x:f>
        <x:v>1</x:v>
      </x:c>
      <x:c r="C15" s="20" t="inlineStr">
        <x:is>
          <x:t xml:space="preserve"/>
        </x:is>
      </x:c>
      <x:c r="D15" s="19">
        <x:f>IF($C15="","",COUNTIFS(Tracker!$J$2:$J$500,$C15,Tracker!$I$2:$I$500,"&lt;&gt;Delivered",Tracker!$I$2:$I$500,"&lt;&gt;Closed"))</x:f>
      </x:c>
    </x:row>
    <x:row r="16">
      <x:c r="A16" s="18" t="inlineStr">
        <x:is>
          <x:t xml:space="preserve">In QC</x:t>
        </x:is>
      </x:c>
      <x:c r="B16" s="19">
        <x:f>COUNTIF(Tracker!$I$2:$I$500,"In QC")</x:f>
        <x:v>0</x:v>
      </x:c>
      <x:c r="C16" s="20" t="inlineStr">
        <x:is>
          <x:t xml:space="preserve"/>
        </x:is>
      </x:c>
      <x:c r="D16" s="19">
        <x:f>IF($C16="","",COUNTIFS(Tracker!$J$2:$J$500,$C16,Tracker!$I$2:$I$500,"&lt;&gt;Delivered",Tracker!$I$2:$I$500,"&lt;&gt;Closed"))</x:f>
      </x:c>
    </x:row>
    <x:row r="17">
      <x:c r="A17" s="18" t="inlineStr">
        <x:is>
          <x:t xml:space="preserve">Blocked</x:t>
        </x:is>
      </x:c>
      <x:c r="B17" s="19">
        <x:f>COUNTIF(Tracker!$I$2:$I$500,"Blocked")</x:f>
        <x:v>1</x:v>
      </x:c>
      <x:c r="C17" s="20" t="inlineStr">
        <x:is>
          <x:t xml:space="preserve"/>
        </x:is>
      </x:c>
      <x:c r="D17" s="19">
        <x:f>IF($C17="","",COUNTIFS(Tracker!$J$2:$J$500,$C17,Tracker!$I$2:$I$500,"&lt;&gt;Delivered",Tracker!$I$2:$I$500,"&lt;&gt;Closed"))</x:f>
      </x:c>
    </x:row>
    <x:row r="18">
      <x:c r="A18" s="18" t="inlineStr">
        <x:is>
          <x:t xml:space="preserve">Delivered</x:t>
        </x:is>
      </x:c>
      <x:c r="B18" s="19">
        <x:f>COUNTIF(Tracker!$I$2:$I$500,"Delivered")</x:f>
        <x:v>1</x:v>
      </x:c>
      <x:c r="C18" s="20" t="inlineStr">
        <x:is>
          <x:t xml:space="preserve"/>
        </x:is>
      </x:c>
      <x:c r="D18" s="19">
        <x:f>IF($C18="","",COUNTIFS(Tracker!$J$2:$J$500,$C18,Tracker!$I$2:$I$500,"&lt;&gt;Delivered",Tracker!$I$2:$I$500,"&lt;&gt;Closed"))</x:f>
      </x:c>
    </x:row>
    <x:row r="19">
      <x:c r="A19" s="18" t="inlineStr">
        <x:is>
          <x:t xml:space="preserve">Closed</x:t>
        </x:is>
      </x:c>
      <x:c r="B19" s="19">
        <x:f>COUNTIF(Tracker!$I$2:$I$500,"Closed")</x:f>
        <x:v>0</x:v>
      </x:c>
      <x:c r="C19" s="20" t="inlineStr">
        <x:is>
          <x:t xml:space="preserve"/>
        </x:is>
      </x:c>
      <x:c r="D19" s="19">
        <x:f>IF($C19="","",COUNTIFS(Tracker!$J$2:$J$500,$C19,Tracker!$I$2:$I$500,"&lt;&gt;Delivered",Tracker!$I$2:$I$500,"&lt;&gt;Closed"))</x:f>
      </x:c>
    </x:row>
    <x:row r="20">
      <x:c r="C20" s="20" t="inlineStr">
        <x:is>
          <x:t xml:space="preserve"/>
        </x:is>
      </x:c>
      <x:c r="D20" s="19">
        <x:f>IF($C20="","",COUNTIFS(Tracker!$J$2:$J$500,$C20,Tracker!$I$2:$I$500,"&lt;&gt;Delivered",Tracker!$I$2:$I$500,"&lt;&gt;Closed"))</x:f>
      </x:c>
    </x:row>
    <x:row r="21">
      <x:c r="C21" s="20" t="inlineStr">
        <x:is>
          <x:t xml:space="preserve"/>
        </x:is>
      </x:c>
      <x:c r="D21" s="19">
        <x:f>IF($C21="","",COUNTIFS(Tracker!$J$2:$J$500,$C21,Tracker!$I$2:$I$500,"&lt;&gt;Delivered",Tracker!$I$2:$I$500,"&lt;&gt;Closed"))</x:f>
      </x:c>
    </x:row>
    <x:row r="22">
      <x:c r="C22" s="20" t="inlineStr">
        <x:is>
          <x:t xml:space="preserve"/>
        </x:is>
      </x:c>
      <x:c r="D22" s="19">
        <x:f>IF($C22="","",COUNTIFS(Tracker!$J$2:$J$500,$C22,Tracker!$I$2:$I$500,"&lt;&gt;Delivered",Tracker!$I$2:$I$500,"&lt;&gt;Closed"))</x:f>
      </x:c>
    </x:row>
    <x:row r="23">
      <x:c r="C23" s="20" t="inlineStr">
        <x:is>
          <x:t xml:space="preserve"/>
        </x:is>
      </x:c>
      <x:c r="D23" s="19">
        <x:f>IF($C23="","",COUNTIFS(Tracker!$J$2:$J$500,$C23,Tracker!$I$2:$I$500,"&lt;&gt;Delivered",Tracker!$I$2:$I$500,"&lt;&gt;Closed"))</x:f>
      </x:c>
    </x:row>
    <x:row r="26">
      <x:c r="A26" s="21" t="inlineStr">
        <x:is>
          <x:t xml:space="preserve">How to use:</x:t>
        </x:is>
      </x:c>
    </x:row>
    <x:row r="27">
      <x:c r="A27" s="22" t="inlineStr">
        <x:is>
          <x:t xml:space="preserve">1) Enter tasks on the Tracker sheet. Use dropdowns for Status/Priority/Risk/QC fields.</x:t>
        </x:is>
      </x:c>
    </x:row>
    <x:row r="28">
      <x:c r="A28" s="22" t="inlineStr">
        <x:is>
          <x:t xml:space="preserve">2) Fill Owner names in Dashboard column C to get per-owner open item counts.</x:t>
        </x:is>
      </x:c>
    </x:row>
    <x:row r="29">
      <x:c r="A29" s="22" t="inlineStr">
        <x:is>
          <x:t xml:space="preserve">3) Track QC results (Major/Minor defects) for sampled items to monitor defect rates.</x:t>
        </x:is>
      </x:c>
    </x:row>
  </x:sheetData>
  <x:mergeCells>
    <x:mergeCell ref="A1:D1"/>
    <x:mergeCell ref="A28:D28"/>
    <x:mergeCell ref="A27:D27"/>
    <x:mergeCell ref="A29:D29"/>
  </x:mergeCells>
  <x:pageMargins left="0.7" right="0.7" top="0.75" bottom="0.75" header="0.3" footer="0.3"/>
</x:worksheet>
</file>